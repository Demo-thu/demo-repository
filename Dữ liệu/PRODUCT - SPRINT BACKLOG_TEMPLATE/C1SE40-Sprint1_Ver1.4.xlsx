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A33BCDD-720E-4AAD-8482-7D4434810C9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Estimate" sheetId="4" r:id="rId1"/>
    <sheet name="Actual" sheetId="5" r:id="rId2"/>
    <sheet name="Chart" sheetId="6" r:id="rId3"/>
  </sheets>
  <definedNames>
    <definedName name="_xlnm._FilterDatabase" localSheetId="2" hidden="1">Chart!$A$4:$C$34</definedName>
    <definedName name="_xlnm.Print_Area" localSheetId="1">Actual!$A$1:$AJ$70</definedName>
    <definedName name="_xlnm.Print_Area" localSheetId="2">Chart!$A$1:$P$35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0" i="4" l="1"/>
  <c r="D13" i="4"/>
  <c r="D12" i="4"/>
  <c r="D10" i="4"/>
  <c r="D11" i="4"/>
  <c r="D9" i="4"/>
  <c r="E12" i="5"/>
  <c r="E11" i="5"/>
  <c r="E10" i="5"/>
  <c r="D13" i="5"/>
  <c r="E9" i="5"/>
  <c r="AH70" i="5" l="1"/>
  <c r="AI70" i="5"/>
  <c r="AJ70" i="5"/>
  <c r="E13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14" i="4" l="1"/>
</calcChain>
</file>

<file path=xl/sharedStrings.xml><?xml version="1.0" encoding="utf-8"?>
<sst xmlns="http://schemas.openxmlformats.org/spreadsheetml/2006/main" count="258" uniqueCount="126">
  <si>
    <t>Project Name:</t>
  </si>
  <si>
    <t>Module Name:</t>
  </si>
  <si>
    <t>Development Team:</t>
  </si>
  <si>
    <t xml:space="preserve">Start Date: </t>
  </si>
  <si>
    <t>End Date:</t>
  </si>
  <si>
    <t>No.</t>
  </si>
  <si>
    <t>Member Name</t>
  </si>
  <si>
    <t>Estimate</t>
  </si>
  <si>
    <t>Actual</t>
  </si>
  <si>
    <t>Lê Xuân Hiếu</t>
  </si>
  <si>
    <t>Đoàn Trung Thông</t>
  </si>
  <si>
    <t>Total</t>
  </si>
  <si>
    <t>Conponent</t>
  </si>
  <si>
    <t>Task Name</t>
  </si>
  <si>
    <t>Resposible Member</t>
  </si>
  <si>
    <t>Sprint Plan Meeting</t>
  </si>
  <si>
    <t xml:space="preserve">All member </t>
  </si>
  <si>
    <t xml:space="preserve">Design UI  </t>
  </si>
  <si>
    <t>Hieu</t>
  </si>
  <si>
    <t>UI forgot password</t>
  </si>
  <si>
    <t xml:space="preserve">Coding </t>
  </si>
  <si>
    <t>Thong</t>
  </si>
  <si>
    <t>Testing and fix bug</t>
  </si>
  <si>
    <t>Implement test case</t>
  </si>
  <si>
    <t>Fix bugs and report</t>
  </si>
  <si>
    <t>Retest</t>
  </si>
  <si>
    <t>Closing</t>
  </si>
  <si>
    <t>TOTAL</t>
  </si>
  <si>
    <t xml:space="preserve">Database </t>
  </si>
  <si>
    <t>Design database</t>
  </si>
  <si>
    <t>On Time</t>
  </si>
  <si>
    <t>Lately</t>
  </si>
  <si>
    <t>Early</t>
  </si>
  <si>
    <t>Unfinished</t>
  </si>
  <si>
    <t>Date</t>
  </si>
  <si>
    <t>LEARNING ENGLISH TOGETHER</t>
  </si>
  <si>
    <t>Sprint 1</t>
  </si>
  <si>
    <t>C2SE.12</t>
  </si>
  <si>
    <t>15/3/2021</t>
  </si>
  <si>
    <t>Ha</t>
  </si>
  <si>
    <t>Lê Thanh Hà</t>
  </si>
  <si>
    <t>My</t>
  </si>
  <si>
    <t>Ngô Ngọc Mỹ</t>
  </si>
  <si>
    <t xml:space="preserve">Create Sprint Backlog for Sprint 1 </t>
  </si>
  <si>
    <t>Create Test Plan document for Sprint 1</t>
  </si>
  <si>
    <t>SPRINT 1 REPORT</t>
  </si>
  <si>
    <t>Fix Bug &amp; Release Sprint 1</t>
  </si>
  <si>
    <t>UI home page</t>
  </si>
  <si>
    <t>UI registration</t>
  </si>
  <si>
    <t>UI log in</t>
  </si>
  <si>
    <t>UI chat room group</t>
  </si>
  <si>
    <t>UI member group</t>
  </si>
  <si>
    <t>UI profile user</t>
  </si>
  <si>
    <t>UI record group</t>
  </si>
  <si>
    <t>UI meessager</t>
  </si>
  <si>
    <t>UI list group</t>
  </si>
  <si>
    <t>UI call video group</t>
  </si>
  <si>
    <t>(Front-end) home page</t>
  </si>
  <si>
    <t>(Front-end) registration</t>
  </si>
  <si>
    <t>(Front-end) log in</t>
  </si>
  <si>
    <t>(Front-end) profile user</t>
  </si>
  <si>
    <t>(Front-end) forgot password</t>
  </si>
  <si>
    <t>(Front-end) chat room group</t>
  </si>
  <si>
    <t>(Front-end) member group</t>
  </si>
  <si>
    <t>(Front-end) record group</t>
  </si>
  <si>
    <t>(Front-end) list group</t>
  </si>
  <si>
    <t>(Front-end) call video group</t>
  </si>
  <si>
    <t>(Front-end) meessager</t>
  </si>
  <si>
    <t>(Back-end) log in</t>
  </si>
  <si>
    <t>(Back-end) registration</t>
  </si>
  <si>
    <t>(Back-end) forgot password</t>
  </si>
  <si>
    <t>(Back-end) chat room group</t>
  </si>
  <si>
    <t>(Back-end) profile user</t>
  </si>
  <si>
    <t>(Back-end) list group</t>
  </si>
  <si>
    <t>(Back-end) member group</t>
  </si>
  <si>
    <t>(Back-end) call video group</t>
  </si>
  <si>
    <t>(Back-end) record group</t>
  </si>
  <si>
    <t>(Back-end) meessager</t>
  </si>
  <si>
    <t>Design Test Case for registration</t>
  </si>
  <si>
    <t>Design Test Case for log in</t>
  </si>
  <si>
    <t>Design Test Case for forgot password</t>
  </si>
  <si>
    <t>Design Test Case for chat room group</t>
  </si>
  <si>
    <t>Design Test Case for profile user</t>
  </si>
  <si>
    <t>Design Test Case for list group</t>
  </si>
  <si>
    <t>Design Test Case for record group</t>
  </si>
  <si>
    <t>Design Test Case for call video group</t>
  </si>
  <si>
    <t>Design Test Case for meessager</t>
  </si>
  <si>
    <t>Hieu, Ha</t>
  </si>
  <si>
    <t>Thong, My</t>
  </si>
  <si>
    <t>Burn down chart Sprint 1</t>
  </si>
  <si>
    <t>Design Test Case for member group</t>
  </si>
  <si>
    <t>Thang</t>
  </si>
  <si>
    <t>Huỳnh Minh Thắng</t>
  </si>
  <si>
    <t>Dung</t>
  </si>
  <si>
    <t>Mai Văn Dũng</t>
  </si>
  <si>
    <t>Cuong</t>
  </si>
  <si>
    <t>Trương Mạnh Cường</t>
  </si>
  <si>
    <t>Khoa</t>
  </si>
  <si>
    <t>Nguyễn Khắc Nguyên Khoa</t>
  </si>
  <si>
    <t>Duy</t>
  </si>
  <si>
    <t>Võ Lê Duy</t>
  </si>
  <si>
    <t>Elderly Health Monitoring and Alert System</t>
  </si>
  <si>
    <t>C1SE.40</t>
  </si>
  <si>
    <t>UI Log in</t>
  </si>
  <si>
    <t>UI Registration</t>
  </si>
  <si>
    <t>UI Verify OTP</t>
  </si>
  <si>
    <t>UI blood pressure</t>
  </si>
  <si>
    <t>UI dashboard (web)</t>
  </si>
  <si>
    <t>UI lifystyle</t>
  </si>
  <si>
    <t>UI setting</t>
  </si>
  <si>
    <t>UI homepage</t>
  </si>
  <si>
    <t>3/9/02025</t>
  </si>
  <si>
    <t>(Front-end) Verify OTP</t>
  </si>
  <si>
    <t>(Front-end) blood pressure</t>
  </si>
  <si>
    <t>(Front-end) dashboard (web)</t>
  </si>
  <si>
    <t>(Front-end) lifystyle</t>
  </si>
  <si>
    <t>(Front-end) setting</t>
  </si>
  <si>
    <t>(Back-end) Verify OTP</t>
  </si>
  <si>
    <t>(Back-end) setting</t>
  </si>
  <si>
    <t>(Back-end) skeleton recognition function</t>
  </si>
  <si>
    <t>Design Test Case for home page</t>
  </si>
  <si>
    <t>Design Test Case for Verify OTP</t>
  </si>
  <si>
    <t>Design Test Case for dashboard (web)</t>
  </si>
  <si>
    <t>Design Test Case for blood pressure</t>
  </si>
  <si>
    <t>Design Test Case for lifystyle</t>
  </si>
  <si>
    <t>Design Test Case for 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</si>
</sst>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"/>
    <numFmt numFmtId="165" formatCode="mm/dd/yy;@"/>
  </numFmts>
  <fonts count="15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1"/>
      <name val="Arial"/>
      <family val="2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theme="1"/>
      <name val="Calibri"/>
      <family val="2"/>
    </font>
    <font>
      <sz val="13"/>
      <color rgb="FF0070C0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4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sz val="13"/>
      <color rgb="FF000000"/>
      <name val="Times New Roman"/>
    </font>
  </fonts>
  <fills count="2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4" tint="0.39997558519241921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7030A0"/>
      </patternFill>
    </fill>
    <fill>
      <patternFill patternType="solid">
        <fgColor rgb="FF00B050"/>
        <bgColor theme="0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rgb="FFBDD6EE"/>
      </patternFill>
    </fill>
    <fill>
      <patternFill patternType="solid">
        <fgColor rgb="FFFF0000"/>
        <bgColor theme="0"/>
      </patternFill>
    </fill>
    <fill>
      <patternFill patternType="solid">
        <fgColor rgb="FF00B0F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0" borderId="0" applyNumberFormat="0" applyBorder="0" applyAlignment="0" applyProtection="0"/>
  </cellStyleXfs>
  <cellXfs count="119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6" fillId="0" borderId="7" xfId="0" applyFont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5" fillId="12" borderId="12" xfId="0" applyFont="1" applyFill="1" applyBorder="1" applyAlignment="1">
      <alignment horizontal="center" vertical="center"/>
    </xf>
    <xf numFmtId="0" fontId="5" fillId="13" borderId="12" xfId="0" applyFont="1" applyFill="1" applyBorder="1" applyAlignment="1">
      <alignment horizontal="center" vertical="center"/>
    </xf>
    <xf numFmtId="0" fontId="5" fillId="13" borderId="12" xfId="0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164" fontId="2" fillId="0" borderId="11" xfId="0" applyNumberFormat="1" applyFont="1" applyBorder="1" applyAlignment="1">
      <alignment horizontal="center" vertical="center" textRotation="90"/>
    </xf>
    <xf numFmtId="0" fontId="5" fillId="11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4" fillId="2" borderId="16" xfId="0" applyFont="1" applyFill="1" applyBorder="1" applyAlignment="1">
      <alignment vertical="center" wrapText="1"/>
    </xf>
    <xf numFmtId="0" fontId="4" fillId="14" borderId="19" xfId="0" applyFont="1" applyFill="1" applyBorder="1" applyAlignment="1">
      <alignment vertical="center" wrapText="1"/>
    </xf>
    <xf numFmtId="0" fontId="4" fillId="15" borderId="19" xfId="0" applyFont="1" applyFill="1" applyBorder="1" applyAlignment="1">
      <alignment vertical="center" wrapText="1"/>
    </xf>
    <xf numFmtId="0" fontId="8" fillId="16" borderId="21" xfId="0" applyFont="1" applyFill="1" applyBorder="1" applyAlignment="1">
      <alignment vertical="center" wrapText="1"/>
    </xf>
    <xf numFmtId="0" fontId="5" fillId="17" borderId="12" xfId="0" applyFont="1" applyFill="1" applyBorder="1" applyAlignment="1">
      <alignment horizontal="center" vertical="center"/>
    </xf>
    <xf numFmtId="0" fontId="5" fillId="18" borderId="12" xfId="0" applyFont="1" applyFill="1" applyBorder="1" applyAlignment="1">
      <alignment horizontal="center" vertical="center"/>
    </xf>
    <xf numFmtId="0" fontId="5" fillId="19" borderId="12" xfId="0" applyFont="1" applyFill="1" applyBorder="1" applyAlignment="1">
      <alignment horizontal="center" vertical="center"/>
    </xf>
    <xf numFmtId="0" fontId="5" fillId="20" borderId="3" xfId="1" applyFont="1" applyBorder="1" applyAlignment="1">
      <alignment horizontal="center" vertical="center"/>
    </xf>
    <xf numFmtId="0" fontId="5" fillId="0" borderId="12" xfId="0" applyFont="1" applyBorder="1"/>
    <xf numFmtId="0" fontId="2" fillId="0" borderId="12" xfId="0" applyFont="1" applyBorder="1" applyAlignment="1">
      <alignment horizontal="center"/>
    </xf>
    <xf numFmtId="0" fontId="2" fillId="0" borderId="12" xfId="0" applyFont="1" applyBorder="1"/>
    <xf numFmtId="0" fontId="5" fillId="0" borderId="0" xfId="0" applyFont="1"/>
    <xf numFmtId="0" fontId="9" fillId="0" borderId="9" xfId="0" applyFont="1" applyBorder="1"/>
    <xf numFmtId="0" fontId="4" fillId="7" borderId="12" xfId="0" applyFont="1" applyFill="1" applyBorder="1" applyAlignment="1">
      <alignment horizontal="center"/>
    </xf>
    <xf numFmtId="0" fontId="4" fillId="10" borderId="12" xfId="0" applyFont="1" applyFill="1" applyBorder="1" applyAlignment="1">
      <alignment horizontal="center"/>
    </xf>
    <xf numFmtId="0" fontId="2" fillId="22" borderId="12" xfId="0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5" fillId="23" borderId="12" xfId="0" applyFont="1" applyFill="1" applyBorder="1" applyAlignment="1">
      <alignment horizontal="center"/>
    </xf>
    <xf numFmtId="0" fontId="5" fillId="23" borderId="12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13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/>
    </xf>
    <xf numFmtId="165" fontId="5" fillId="0" borderId="7" xfId="0" applyNumberFormat="1" applyFont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0" fontId="2" fillId="21" borderId="1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2" fillId="9" borderId="12" xfId="0" applyFont="1" applyFill="1" applyBorder="1" applyAlignment="1">
      <alignment horizontal="left"/>
    </xf>
    <xf numFmtId="0" fontId="12" fillId="22" borderId="12" xfId="0" applyFont="1" applyFill="1" applyBorder="1" applyAlignment="1">
      <alignment horizontal="center" vertical="center"/>
    </xf>
    <xf numFmtId="15" fontId="13" fillId="0" borderId="12" xfId="0" applyNumberFormat="1" applyFont="1" applyBorder="1"/>
    <xf numFmtId="0" fontId="12" fillId="0" borderId="9" xfId="0" applyFont="1" applyBorder="1" applyAlignment="1">
      <alignment horizontal="left"/>
    </xf>
    <xf numFmtId="0" fontId="5" fillId="25" borderId="12" xfId="0" applyFont="1" applyFill="1" applyBorder="1" applyAlignment="1">
      <alignment horizontal="center" vertical="center"/>
    </xf>
    <xf numFmtId="0" fontId="5" fillId="19" borderId="12" xfId="0" applyFont="1" applyFill="1" applyBorder="1" applyAlignment="1">
      <alignment horizontal="center"/>
    </xf>
    <xf numFmtId="0" fontId="12" fillId="9" borderId="24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12" fillId="26" borderId="12" xfId="0" applyFont="1" applyFill="1" applyBorder="1" applyAlignment="1">
      <alignment horizontal="left"/>
    </xf>
    <xf numFmtId="0" fontId="4" fillId="0" borderId="12" xfId="0" applyFont="1" applyBorder="1" applyAlignment="1">
      <alignment horizontal="left" vertical="center"/>
    </xf>
    <xf numFmtId="0" fontId="9" fillId="0" borderId="12" xfId="0" applyFont="1" applyBorder="1"/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top" wrapText="1"/>
    </xf>
    <xf numFmtId="0" fontId="9" fillId="0" borderId="12" xfId="0" applyFont="1" applyBorder="1"/>
    <xf numFmtId="0" fontId="5" fillId="0" borderId="12" xfId="0" applyFont="1" applyBorder="1"/>
    <xf numFmtId="0" fontId="4" fillId="0" borderId="12" xfId="0" applyFont="1" applyBorder="1" applyAlignment="1">
      <alignment horizontal="left" vertical="center"/>
    </xf>
    <xf numFmtId="0" fontId="2" fillId="8" borderId="24" xfId="0" applyFont="1" applyFill="1" applyBorder="1" applyAlignment="1">
      <alignment horizontal="center" vertical="center"/>
    </xf>
    <xf numFmtId="0" fontId="2" fillId="8" borderId="25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0" fontId="9" fillId="9" borderId="12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9" fillId="0" borderId="6" xfId="0" applyFont="1" applyBorder="1"/>
    <xf numFmtId="0" fontId="6" fillId="9" borderId="12" xfId="0" applyFont="1" applyFill="1" applyBorder="1" applyAlignment="1">
      <alignment horizontal="left" vertical="center"/>
    </xf>
    <xf numFmtId="0" fontId="9" fillId="9" borderId="12" xfId="0" applyFont="1" applyFill="1" applyBorder="1"/>
    <xf numFmtId="0" fontId="10" fillId="9" borderId="12" xfId="0" applyFont="1" applyFill="1" applyBorder="1"/>
    <xf numFmtId="0" fontId="4" fillId="0" borderId="9" xfId="0" applyFont="1" applyBorder="1" applyAlignment="1">
      <alignment horizontal="center" vertical="center"/>
    </xf>
    <xf numFmtId="0" fontId="9" fillId="0" borderId="9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6" fillId="3" borderId="12" xfId="0" applyFont="1" applyFill="1" applyBorder="1" applyAlignment="1">
      <alignment horizontal="center"/>
    </xf>
    <xf numFmtId="0" fontId="4" fillId="0" borderId="16" xfId="0" applyFont="1" applyBorder="1" applyAlignment="1">
      <alignment vertical="center" wrapText="1"/>
    </xf>
    <xf numFmtId="0" fontId="9" fillId="0" borderId="17" xfId="0" applyFont="1" applyBorder="1"/>
    <xf numFmtId="0" fontId="9" fillId="0" borderId="18" xfId="0" applyFont="1" applyBorder="1"/>
    <xf numFmtId="0" fontId="2" fillId="4" borderId="8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vertical="center" wrapText="1"/>
    </xf>
    <xf numFmtId="0" fontId="9" fillId="0" borderId="20" xfId="0" applyFont="1" applyBorder="1"/>
    <xf numFmtId="0" fontId="4" fillId="0" borderId="19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9" fillId="0" borderId="22" xfId="0" applyFont="1" applyBorder="1"/>
    <xf numFmtId="0" fontId="9" fillId="0" borderId="23" xfId="0" applyFont="1" applyBorder="1"/>
    <xf numFmtId="0" fontId="6" fillId="24" borderId="26" xfId="0" applyFont="1" applyFill="1" applyBorder="1" applyAlignment="1">
      <alignment horizontal="center"/>
    </xf>
    <xf numFmtId="0" fontId="6" fillId="24" borderId="9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3" fillId="0" borderId="11" xfId="0" applyFont="1" applyBorder="1"/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/>
    <xf numFmtId="0" fontId="2" fillId="4" borderId="12" xfId="0" applyFont="1" applyFill="1" applyBorder="1" applyAlignment="1">
      <alignment horizontal="center" vertical="center" wrapText="1"/>
    </xf>
    <xf numFmtId="0" fontId="11" fillId="13" borderId="0" xfId="0" applyFont="1" applyFill="1" applyAlignment="1">
      <alignment horizontal="center"/>
    </xf>
    <xf numFmtId="0" fontId="14" fillId="0" borderId="3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4" fillId="0" borderId="3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60% - Accent1" xfId="1" builtinId="3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Chart!$A$3</c:f>
              <c:strCache>
                <c:ptCount val="1"/>
                <c:pt idx="0">
                  <c:v>Estimate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numRef>
              <c:f>Chart!$C$4:$C$34</c:f>
              <c:numCache>
                <c:formatCode>d\-mmm\-yy</c:formatCode>
                <c:ptCount val="31"/>
                <c:pt idx="0">
                  <c:v>44270</c:v>
                </c:pt>
                <c:pt idx="1">
                  <c:v>44271</c:v>
                </c:pt>
                <c:pt idx="2">
                  <c:v>44272</c:v>
                </c:pt>
                <c:pt idx="3">
                  <c:v>44273</c:v>
                </c:pt>
                <c:pt idx="4">
                  <c:v>44274</c:v>
                </c:pt>
                <c:pt idx="5">
                  <c:v>44275</c:v>
                </c:pt>
                <c:pt idx="6">
                  <c:v>44276</c:v>
                </c:pt>
                <c:pt idx="7">
                  <c:v>44277</c:v>
                </c:pt>
                <c:pt idx="8">
                  <c:v>44278</c:v>
                </c:pt>
                <c:pt idx="9">
                  <c:v>44279</c:v>
                </c:pt>
                <c:pt idx="10">
                  <c:v>44280</c:v>
                </c:pt>
                <c:pt idx="11">
                  <c:v>44281</c:v>
                </c:pt>
                <c:pt idx="12">
                  <c:v>44282</c:v>
                </c:pt>
                <c:pt idx="13">
                  <c:v>44283</c:v>
                </c:pt>
                <c:pt idx="14">
                  <c:v>44284</c:v>
                </c:pt>
                <c:pt idx="15">
                  <c:v>44285</c:v>
                </c:pt>
                <c:pt idx="16">
                  <c:v>44286</c:v>
                </c:pt>
                <c:pt idx="17">
                  <c:v>44287</c:v>
                </c:pt>
                <c:pt idx="18">
                  <c:v>44288</c:v>
                </c:pt>
                <c:pt idx="19">
                  <c:v>44289</c:v>
                </c:pt>
                <c:pt idx="20">
                  <c:v>44290</c:v>
                </c:pt>
                <c:pt idx="21">
                  <c:v>44291</c:v>
                </c:pt>
                <c:pt idx="22">
                  <c:v>44292</c:v>
                </c:pt>
                <c:pt idx="23">
                  <c:v>44293</c:v>
                </c:pt>
                <c:pt idx="24">
                  <c:v>44294</c:v>
                </c:pt>
                <c:pt idx="25">
                  <c:v>44295</c:v>
                </c:pt>
                <c:pt idx="26">
                  <c:v>44296</c:v>
                </c:pt>
                <c:pt idx="27">
                  <c:v>44297</c:v>
                </c:pt>
                <c:pt idx="28">
                  <c:v>44298</c:v>
                </c:pt>
                <c:pt idx="29">
                  <c:v>44299</c:v>
                </c:pt>
                <c:pt idx="30">
                  <c:v>44300</c:v>
                </c:pt>
              </c:numCache>
            </c:numRef>
          </c:cat>
          <c:val>
            <c:numRef>
              <c:f>Chart!$A$4:$A$32</c:f>
              <c:numCache>
                <c:formatCode>General</c:formatCode>
                <c:ptCount val="29"/>
                <c:pt idx="0">
                  <c:v>158</c:v>
                </c:pt>
                <c:pt idx="1">
                  <c:v>153</c:v>
                </c:pt>
                <c:pt idx="2">
                  <c:v>145</c:v>
                </c:pt>
                <c:pt idx="3">
                  <c:v>139</c:v>
                </c:pt>
                <c:pt idx="4">
                  <c:v>132</c:v>
                </c:pt>
                <c:pt idx="5">
                  <c:v>126</c:v>
                </c:pt>
                <c:pt idx="6">
                  <c:v>118</c:v>
                </c:pt>
                <c:pt idx="7">
                  <c:v>110</c:v>
                </c:pt>
                <c:pt idx="8">
                  <c:v>104</c:v>
                </c:pt>
                <c:pt idx="9">
                  <c:v>98</c:v>
                </c:pt>
                <c:pt idx="10">
                  <c:v>92</c:v>
                </c:pt>
                <c:pt idx="11">
                  <c:v>86</c:v>
                </c:pt>
                <c:pt idx="12">
                  <c:v>80</c:v>
                </c:pt>
                <c:pt idx="13">
                  <c:v>74</c:v>
                </c:pt>
                <c:pt idx="14">
                  <c:v>66</c:v>
                </c:pt>
                <c:pt idx="15">
                  <c:v>60</c:v>
                </c:pt>
                <c:pt idx="16">
                  <c:v>55</c:v>
                </c:pt>
                <c:pt idx="17">
                  <c:v>50</c:v>
                </c:pt>
                <c:pt idx="18">
                  <c:v>43</c:v>
                </c:pt>
                <c:pt idx="19">
                  <c:v>36</c:v>
                </c:pt>
                <c:pt idx="20">
                  <c:v>32</c:v>
                </c:pt>
                <c:pt idx="21">
                  <c:v>27</c:v>
                </c:pt>
                <c:pt idx="22">
                  <c:v>22</c:v>
                </c:pt>
                <c:pt idx="23">
                  <c:v>16</c:v>
                </c:pt>
                <c:pt idx="24">
                  <c:v>12</c:v>
                </c:pt>
                <c:pt idx="25">
                  <c:v>8</c:v>
                </c:pt>
                <c:pt idx="26">
                  <c:v>6</c:v>
                </c:pt>
                <c:pt idx="27">
                  <c:v>3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FFB-4889-89D2-029AD68DCD93}"/>
            </c:ext>
          </c:extLst>
        </c:ser>
        <c:ser>
          <c:idx val="0"/>
          <c:order val="1"/>
          <c:tx>
            <c:strRef>
              <c:f>Chart!$B$3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val>
            <c:numRef>
              <c:f>Chart!$B$4:$B$34</c:f>
              <c:numCache>
                <c:formatCode>General</c:formatCode>
                <c:ptCount val="31"/>
                <c:pt idx="0">
                  <c:v>158</c:v>
                </c:pt>
                <c:pt idx="1">
                  <c:v>152</c:v>
                </c:pt>
                <c:pt idx="2">
                  <c:v>143</c:v>
                </c:pt>
                <c:pt idx="3">
                  <c:v>139</c:v>
                </c:pt>
                <c:pt idx="4">
                  <c:v>132</c:v>
                </c:pt>
                <c:pt idx="5">
                  <c:v>130</c:v>
                </c:pt>
                <c:pt idx="6">
                  <c:v>117</c:v>
                </c:pt>
                <c:pt idx="7">
                  <c:v>110</c:v>
                </c:pt>
                <c:pt idx="8">
                  <c:v>106</c:v>
                </c:pt>
                <c:pt idx="9">
                  <c:v>98</c:v>
                </c:pt>
                <c:pt idx="10">
                  <c:v>94</c:v>
                </c:pt>
                <c:pt idx="11">
                  <c:v>87</c:v>
                </c:pt>
                <c:pt idx="12">
                  <c:v>80</c:v>
                </c:pt>
                <c:pt idx="13">
                  <c:v>76</c:v>
                </c:pt>
                <c:pt idx="14">
                  <c:v>74</c:v>
                </c:pt>
                <c:pt idx="15">
                  <c:v>66</c:v>
                </c:pt>
                <c:pt idx="16">
                  <c:v>59</c:v>
                </c:pt>
                <c:pt idx="17">
                  <c:v>50</c:v>
                </c:pt>
                <c:pt idx="18">
                  <c:v>42</c:v>
                </c:pt>
                <c:pt idx="19">
                  <c:v>36</c:v>
                </c:pt>
                <c:pt idx="20">
                  <c:v>32</c:v>
                </c:pt>
                <c:pt idx="21">
                  <c:v>30</c:v>
                </c:pt>
                <c:pt idx="22">
                  <c:v>27</c:v>
                </c:pt>
                <c:pt idx="23">
                  <c:v>23</c:v>
                </c:pt>
                <c:pt idx="24">
                  <c:v>19</c:v>
                </c:pt>
                <c:pt idx="25">
                  <c:v>14</c:v>
                </c:pt>
                <c:pt idx="26">
                  <c:v>11</c:v>
                </c:pt>
                <c:pt idx="27">
                  <c:v>8</c:v>
                </c:pt>
                <c:pt idx="28">
                  <c:v>5</c:v>
                </c:pt>
                <c:pt idx="29">
                  <c:v>3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FFB-4889-89D2-029AD68DC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5407327"/>
        <c:axId val="781020655"/>
      </c:lineChart>
      <c:dateAx>
        <c:axId val="705407327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20655"/>
        <c:crosses val="autoZero"/>
        <c:auto val="1"/>
        <c:lblOffset val="100"/>
        <c:baseTimeUnit val="days"/>
      </c:dateAx>
      <c:valAx>
        <c:axId val="78102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40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15</xdr:col>
      <xdr:colOff>9525</xdr:colOff>
      <xdr:row>19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7055C7-FD0E-4E38-A3B4-8A7ABA535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D355-9852-4FCE-992D-C0B1BCC94037}">
  <dimension ref="A1:AH994"/>
  <sheetViews>
    <sheetView tabSelected="1" topLeftCell="B1" zoomScale="70" zoomScaleNormal="70" zoomScaleSheetLayoutView="70" workbookViewId="0">
      <selection activeCell="G16" sqref="G16"/>
    </sheetView>
  </sheetViews>
  <sheetFormatPr defaultColWidth="12.625" defaultRowHeight="15" customHeight="1" x14ac:dyDescent="0.2"/>
  <cols>
    <col min="1" max="1" width="20.25" customWidth="1"/>
    <col min="2" max="2" width="37.5" customWidth="1"/>
    <col min="3" max="3" width="26" bestFit="1" customWidth="1"/>
    <col min="4" max="4" width="14.5" customWidth="1"/>
    <col min="5" max="5" width="10.875" customWidth="1"/>
    <col min="6" max="6" width="7.375" customWidth="1"/>
    <col min="7" max="7" width="5.5" customWidth="1"/>
    <col min="8" max="8" width="6.25" customWidth="1"/>
    <col min="9" max="35" width="6.625" customWidth="1"/>
  </cols>
  <sheetData>
    <row r="1" spans="1:34" ht="54" customHeight="1" x14ac:dyDescent="0.2">
      <c r="A1" s="92" t="s">
        <v>0</v>
      </c>
      <c r="B1" s="93"/>
      <c r="C1" s="1" t="s">
        <v>101</v>
      </c>
      <c r="D1" s="2"/>
    </row>
    <row r="2" spans="1:34" ht="14.25" customHeight="1" x14ac:dyDescent="0.25">
      <c r="A2" s="92" t="s">
        <v>1</v>
      </c>
      <c r="B2" s="93"/>
      <c r="C2" s="4" t="s">
        <v>36</v>
      </c>
      <c r="D2" s="2"/>
      <c r="E2" s="5"/>
      <c r="F2" s="5"/>
    </row>
    <row r="3" spans="1:34" ht="14.25" customHeight="1" x14ac:dyDescent="0.25">
      <c r="A3" s="92" t="s">
        <v>2</v>
      </c>
      <c r="B3" s="93"/>
      <c r="C3" s="4" t="s">
        <v>102</v>
      </c>
      <c r="D3" s="6"/>
      <c r="E3" s="5"/>
      <c r="F3" s="5"/>
    </row>
    <row r="4" spans="1:34" ht="14.25" customHeight="1" x14ac:dyDescent="0.25">
      <c r="A4" s="92" t="s">
        <v>3</v>
      </c>
      <c r="B4" s="93"/>
      <c r="C4" s="50" t="s">
        <v>111</v>
      </c>
      <c r="D4" s="6"/>
      <c r="E4" s="5"/>
      <c r="F4" s="5"/>
    </row>
    <row r="5" spans="1:34" ht="14.25" customHeight="1" x14ac:dyDescent="0.25">
      <c r="A5" s="92" t="s">
        <v>4</v>
      </c>
      <c r="B5" s="93"/>
      <c r="C5" s="7">
        <v>45667</v>
      </c>
      <c r="D5" s="6"/>
      <c r="E5" s="5"/>
      <c r="F5" s="5"/>
    </row>
    <row r="6" spans="1:34" ht="14.25" customHeight="1" thickBot="1" x14ac:dyDescent="0.3">
      <c r="A6" s="8"/>
      <c r="B6" s="8"/>
      <c r="C6" s="9"/>
      <c r="D6" s="5"/>
      <c r="E6" s="5"/>
      <c r="F6" s="5"/>
    </row>
    <row r="7" spans="1:34" ht="14.25" customHeight="1" x14ac:dyDescent="0.25">
      <c r="A7" s="94"/>
      <c r="B7" s="94"/>
      <c r="C7" s="94"/>
      <c r="D7" s="94"/>
      <c r="E7" s="5"/>
      <c r="F7" s="5"/>
      <c r="G7" s="34"/>
      <c r="H7" s="95" t="s">
        <v>30</v>
      </c>
      <c r="I7" s="96"/>
      <c r="J7" s="96"/>
      <c r="K7" s="97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</row>
    <row r="8" spans="1:34" ht="14.25" customHeight="1" x14ac:dyDescent="0.25">
      <c r="A8" s="32" t="s">
        <v>5</v>
      </c>
      <c r="B8" s="98" t="s">
        <v>6</v>
      </c>
      <c r="C8" s="99"/>
      <c r="D8" s="33" t="s">
        <v>7</v>
      </c>
      <c r="E8" s="5"/>
      <c r="F8" s="5"/>
      <c r="G8" s="35"/>
      <c r="H8" s="100" t="s">
        <v>31</v>
      </c>
      <c r="I8" s="86"/>
      <c r="J8" s="86"/>
      <c r="K8" s="101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</row>
    <row r="9" spans="1:34" ht="19.5" customHeight="1" x14ac:dyDescent="0.25">
      <c r="A9" s="3">
        <v>1</v>
      </c>
      <c r="B9" s="114" t="s">
        <v>91</v>
      </c>
      <c r="C9" s="115" t="s">
        <v>92</v>
      </c>
      <c r="D9" s="30">
        <f>SUMIF(D16:D59,"Thang",E16:E59)+11+4</f>
        <v>51</v>
      </c>
      <c r="E9" s="5"/>
      <c r="F9" s="5"/>
      <c r="G9" s="36"/>
      <c r="H9" s="102" t="s">
        <v>32</v>
      </c>
      <c r="I9" s="86"/>
      <c r="J9" s="86"/>
      <c r="K9" s="101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</row>
    <row r="10" spans="1:34" ht="18.75" customHeight="1" thickBot="1" x14ac:dyDescent="0.3">
      <c r="A10" s="3">
        <v>2</v>
      </c>
      <c r="B10" s="116" t="s">
        <v>93</v>
      </c>
      <c r="C10" s="117" t="s">
        <v>94</v>
      </c>
      <c r="D10" s="30">
        <f>SUMIF(D16:D59,"Dung",E16:E59)</f>
        <v>17</v>
      </c>
      <c r="E10" s="5"/>
      <c r="F10" s="5"/>
      <c r="G10" s="37"/>
      <c r="H10" s="103" t="s">
        <v>33</v>
      </c>
      <c r="I10" s="104"/>
      <c r="J10" s="104"/>
      <c r="K10" s="10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</row>
    <row r="11" spans="1:34" ht="16.5" customHeight="1" x14ac:dyDescent="0.25">
      <c r="A11" s="3">
        <v>3</v>
      </c>
      <c r="B11" s="114" t="s">
        <v>95</v>
      </c>
      <c r="C11" s="115" t="s">
        <v>96</v>
      </c>
      <c r="D11" s="30">
        <f>SUMIF(D16:D59,"Cuong",E16:E59)</f>
        <v>21</v>
      </c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</row>
    <row r="12" spans="1:34" ht="16.5" customHeight="1" x14ac:dyDescent="0.25">
      <c r="A12" s="3">
        <v>4</v>
      </c>
      <c r="B12" s="116" t="s">
        <v>97</v>
      </c>
      <c r="C12" s="117" t="s">
        <v>98</v>
      </c>
      <c r="D12" s="30">
        <f>SUMIF(D15:D58,"Khoa",E15:E58)</f>
        <v>26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</row>
    <row r="13" spans="1:34" ht="17.25" customHeight="1" x14ac:dyDescent="0.25">
      <c r="A13" s="3">
        <v>5</v>
      </c>
      <c r="B13" s="117" t="s">
        <v>99</v>
      </c>
      <c r="C13" s="117" t="s">
        <v>100</v>
      </c>
      <c r="D13" s="30">
        <f>SUMIF(D16:D59,"Duy",E16:E59)</f>
        <v>30</v>
      </c>
      <c r="E13" s="45"/>
      <c r="F13" s="46"/>
      <c r="G13" s="45"/>
      <c r="H13" s="45"/>
      <c r="I13" s="45"/>
      <c r="J13" s="90"/>
      <c r="K13" s="91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</row>
    <row r="14" spans="1:34" ht="14.25" customHeight="1" x14ac:dyDescent="0.25">
      <c r="A14" s="85" t="s">
        <v>11</v>
      </c>
      <c r="B14" s="86"/>
      <c r="C14" s="86"/>
      <c r="D14" s="31">
        <f>SUM(D9:D13)</f>
        <v>145</v>
      </c>
      <c r="E14" s="45"/>
      <c r="F14" s="46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</row>
    <row r="15" spans="1:34" ht="70.5" customHeight="1" x14ac:dyDescent="0.2">
      <c r="A15" s="13" t="s">
        <v>45</v>
      </c>
      <c r="B15" s="13" t="s">
        <v>12</v>
      </c>
      <c r="C15" s="13" t="s">
        <v>13</v>
      </c>
      <c r="D15" s="28" t="s">
        <v>14</v>
      </c>
      <c r="E15" s="29" t="s">
        <v>7</v>
      </c>
      <c r="F15" s="26">
        <v>45903</v>
      </c>
      <c r="G15" s="26">
        <v>45904</v>
      </c>
      <c r="H15" s="26">
        <v>45905</v>
      </c>
      <c r="I15" s="26">
        <v>45906</v>
      </c>
      <c r="J15" s="26">
        <v>45907</v>
      </c>
      <c r="K15" s="26">
        <v>45908</v>
      </c>
      <c r="L15" s="26">
        <v>45909</v>
      </c>
      <c r="M15" s="26">
        <v>45910</v>
      </c>
      <c r="N15" s="26">
        <v>45911</v>
      </c>
      <c r="O15" s="26">
        <v>45912</v>
      </c>
      <c r="P15" s="26">
        <v>45913</v>
      </c>
      <c r="Q15" s="26">
        <v>45914</v>
      </c>
      <c r="R15" s="26">
        <v>45915</v>
      </c>
      <c r="S15" s="26">
        <v>45916</v>
      </c>
      <c r="T15" s="26">
        <v>45917</v>
      </c>
      <c r="U15" s="26">
        <v>45918</v>
      </c>
      <c r="V15" s="26">
        <v>45919</v>
      </c>
      <c r="W15" s="26">
        <v>45920</v>
      </c>
      <c r="X15" s="26">
        <v>45921</v>
      </c>
      <c r="Y15" s="26">
        <v>45922</v>
      </c>
      <c r="Z15" s="26">
        <v>45923</v>
      </c>
      <c r="AA15" s="26">
        <v>45924</v>
      </c>
      <c r="AB15" s="26">
        <v>45925</v>
      </c>
      <c r="AC15" s="26">
        <v>45926</v>
      </c>
      <c r="AD15" s="26">
        <v>45927</v>
      </c>
      <c r="AE15" s="26">
        <v>45928</v>
      </c>
      <c r="AF15" s="26">
        <v>45929</v>
      </c>
      <c r="AG15" s="26">
        <v>45930</v>
      </c>
      <c r="AH15" s="26">
        <v>45931</v>
      </c>
    </row>
    <row r="16" spans="1:34" ht="14.25" customHeight="1" x14ac:dyDescent="0.25">
      <c r="A16" s="42"/>
      <c r="B16" s="87" t="s">
        <v>15</v>
      </c>
      <c r="C16" s="88"/>
      <c r="D16" s="41" t="s">
        <v>16</v>
      </c>
      <c r="E16" s="27">
        <v>6</v>
      </c>
      <c r="F16" s="21">
        <v>0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ht="14.25" customHeight="1" x14ac:dyDescent="0.25">
      <c r="A17" s="42"/>
      <c r="B17" s="87" t="s">
        <v>43</v>
      </c>
      <c r="C17" s="89"/>
      <c r="D17" s="41" t="s">
        <v>99</v>
      </c>
      <c r="E17" s="14">
        <v>6</v>
      </c>
      <c r="F17" s="21">
        <v>0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ht="14.25" customHeight="1" x14ac:dyDescent="0.25">
      <c r="A18" s="42"/>
      <c r="B18" s="87" t="s">
        <v>44</v>
      </c>
      <c r="C18" s="89"/>
      <c r="D18" s="41" t="s">
        <v>91</v>
      </c>
      <c r="E18" s="14">
        <v>7</v>
      </c>
      <c r="F18" s="14">
        <v>2</v>
      </c>
      <c r="G18" s="21">
        <v>0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ht="14.25" customHeight="1" x14ac:dyDescent="0.25">
      <c r="A19" s="42"/>
      <c r="B19" s="82" t="s">
        <v>17</v>
      </c>
      <c r="C19" s="77"/>
      <c r="D19" s="15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</row>
    <row r="20" spans="1:34" ht="14.25" customHeight="1" x14ac:dyDescent="0.25">
      <c r="A20" s="42"/>
      <c r="B20" s="79" t="s">
        <v>103</v>
      </c>
      <c r="C20" s="77"/>
      <c r="D20" s="17" t="s">
        <v>97</v>
      </c>
      <c r="E20" s="18">
        <v>3</v>
      </c>
      <c r="F20" s="18">
        <v>3</v>
      </c>
      <c r="G20" s="21">
        <v>0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</row>
    <row r="21" spans="1:34" ht="14.25" customHeight="1" x14ac:dyDescent="0.25">
      <c r="A21" s="42"/>
      <c r="B21" s="79" t="s">
        <v>104</v>
      </c>
      <c r="C21" s="77"/>
      <c r="D21" s="47" t="s">
        <v>97</v>
      </c>
      <c r="E21" s="18">
        <v>1</v>
      </c>
      <c r="F21" s="18">
        <v>1</v>
      </c>
      <c r="G21" s="21">
        <v>0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</row>
    <row r="22" spans="1:34" ht="14.25" customHeight="1" x14ac:dyDescent="0.25">
      <c r="A22" s="42"/>
      <c r="B22" s="79" t="s">
        <v>105</v>
      </c>
      <c r="C22" s="77"/>
      <c r="D22" s="47" t="s">
        <v>97</v>
      </c>
      <c r="E22" s="18">
        <v>1</v>
      </c>
      <c r="F22" s="18">
        <v>1</v>
      </c>
      <c r="G22" s="21">
        <v>0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</row>
    <row r="23" spans="1:34" ht="14.25" customHeight="1" x14ac:dyDescent="0.25">
      <c r="A23" s="42"/>
      <c r="B23" s="79" t="s">
        <v>19</v>
      </c>
      <c r="C23" s="77"/>
      <c r="D23" s="47" t="s">
        <v>95</v>
      </c>
      <c r="E23" s="18">
        <v>1</v>
      </c>
      <c r="F23" s="18">
        <v>1</v>
      </c>
      <c r="G23" s="18">
        <v>1</v>
      </c>
      <c r="H23" s="21">
        <v>0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</row>
    <row r="24" spans="1:34" ht="14.25" customHeight="1" x14ac:dyDescent="0.25">
      <c r="A24" s="42"/>
      <c r="B24" s="72" t="s">
        <v>110</v>
      </c>
      <c r="C24" s="73"/>
      <c r="D24" s="47" t="s">
        <v>91</v>
      </c>
      <c r="E24" s="18">
        <v>1</v>
      </c>
      <c r="F24" s="18"/>
      <c r="G24" s="18">
        <v>1</v>
      </c>
      <c r="H24" s="21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</row>
    <row r="25" spans="1:34" ht="14.25" customHeight="1" x14ac:dyDescent="0.25">
      <c r="A25" s="42"/>
      <c r="B25" s="79" t="s">
        <v>106</v>
      </c>
      <c r="C25" s="77"/>
      <c r="D25" s="47" t="s">
        <v>97</v>
      </c>
      <c r="E25" s="18">
        <v>2</v>
      </c>
      <c r="F25" s="18">
        <v>2</v>
      </c>
      <c r="G25" s="18">
        <v>2</v>
      </c>
      <c r="H25" s="21">
        <v>0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</row>
    <row r="26" spans="1:34" ht="14.25" customHeight="1" x14ac:dyDescent="0.25">
      <c r="A26" s="42"/>
      <c r="B26" s="79" t="s">
        <v>107</v>
      </c>
      <c r="C26" s="77"/>
      <c r="D26" s="47" t="s">
        <v>93</v>
      </c>
      <c r="E26" s="18">
        <v>3</v>
      </c>
      <c r="F26" s="18">
        <v>3</v>
      </c>
      <c r="G26" s="18">
        <v>3</v>
      </c>
      <c r="H26" s="21">
        <v>0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</row>
    <row r="27" spans="1:34" ht="14.25" customHeight="1" x14ac:dyDescent="0.25">
      <c r="A27" s="42"/>
      <c r="B27" s="79" t="s">
        <v>108</v>
      </c>
      <c r="C27" s="77"/>
      <c r="D27" s="47" t="s">
        <v>93</v>
      </c>
      <c r="E27" s="18">
        <v>2</v>
      </c>
      <c r="F27" s="18">
        <v>2</v>
      </c>
      <c r="G27" s="18">
        <v>2</v>
      </c>
      <c r="H27" s="21">
        <v>0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</row>
    <row r="28" spans="1:34" ht="14.25" customHeight="1" x14ac:dyDescent="0.25">
      <c r="A28" s="42"/>
      <c r="B28" s="79" t="s">
        <v>109</v>
      </c>
      <c r="C28" s="77"/>
      <c r="D28" s="47" t="s">
        <v>95</v>
      </c>
      <c r="E28" s="18">
        <v>2</v>
      </c>
      <c r="F28" s="18">
        <v>2</v>
      </c>
      <c r="G28" s="18">
        <v>2</v>
      </c>
      <c r="H28" s="18">
        <v>2</v>
      </c>
      <c r="I28" s="21">
        <v>0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</row>
    <row r="29" spans="1:34" ht="14.25" customHeight="1" x14ac:dyDescent="0.25">
      <c r="A29" s="42"/>
      <c r="B29" s="82" t="s">
        <v>20</v>
      </c>
      <c r="C29" s="77"/>
      <c r="D29" s="15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</row>
    <row r="30" spans="1:34" ht="15" customHeight="1" x14ac:dyDescent="0.25">
      <c r="A30" s="42"/>
      <c r="B30" s="74" t="s">
        <v>57</v>
      </c>
      <c r="C30" s="75"/>
      <c r="D30" s="47" t="s">
        <v>97</v>
      </c>
      <c r="E30" s="19">
        <v>5</v>
      </c>
      <c r="F30" s="19"/>
      <c r="G30" s="19"/>
      <c r="H30" s="19"/>
      <c r="I30" s="19"/>
      <c r="J30" s="53"/>
      <c r="K30" s="19">
        <v>5</v>
      </c>
      <c r="L30" s="53">
        <v>3</v>
      </c>
      <c r="M30" s="53">
        <v>1</v>
      </c>
      <c r="N30" s="22">
        <v>0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</row>
    <row r="31" spans="1:34" ht="15" customHeight="1" x14ac:dyDescent="0.25">
      <c r="A31" s="42"/>
      <c r="B31" s="74" t="s">
        <v>58</v>
      </c>
      <c r="C31" s="75"/>
      <c r="D31" s="47" t="s">
        <v>97</v>
      </c>
      <c r="E31" s="19">
        <v>5</v>
      </c>
      <c r="F31" s="19"/>
      <c r="G31" s="19"/>
      <c r="H31" s="19"/>
      <c r="I31" s="19"/>
      <c r="J31" s="53"/>
      <c r="K31" s="19">
        <v>5</v>
      </c>
      <c r="L31" s="53">
        <v>3</v>
      </c>
      <c r="M31" s="53">
        <v>1</v>
      </c>
      <c r="N31" s="22">
        <v>0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</row>
    <row r="32" spans="1:34" ht="15" customHeight="1" x14ac:dyDescent="0.25">
      <c r="A32" s="42"/>
      <c r="B32" s="74" t="s">
        <v>59</v>
      </c>
      <c r="C32" s="75"/>
      <c r="D32" s="17" t="s">
        <v>95</v>
      </c>
      <c r="E32" s="118">
        <v>5</v>
      </c>
      <c r="F32" s="19"/>
      <c r="G32" s="19"/>
      <c r="H32" s="19"/>
      <c r="I32" s="19"/>
      <c r="J32" s="53"/>
      <c r="K32" s="19">
        <v>5</v>
      </c>
      <c r="L32" s="53">
        <v>3</v>
      </c>
      <c r="M32" s="53">
        <v>1</v>
      </c>
      <c r="N32" s="22">
        <v>0</v>
      </c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</row>
    <row r="33" spans="1:34" ht="14.25" customHeight="1" x14ac:dyDescent="0.25">
      <c r="A33" s="42"/>
      <c r="B33" s="74" t="s">
        <v>61</v>
      </c>
      <c r="C33" s="75"/>
      <c r="D33" s="17" t="s">
        <v>95</v>
      </c>
      <c r="E33" s="19">
        <v>4</v>
      </c>
      <c r="F33" s="19"/>
      <c r="G33" s="19"/>
      <c r="H33" s="19"/>
      <c r="I33" s="19"/>
      <c r="J33" s="19"/>
      <c r="K33" s="53"/>
      <c r="L33" s="53"/>
      <c r="M33" s="19"/>
      <c r="N33" s="19">
        <v>4</v>
      </c>
      <c r="O33" s="19">
        <v>2</v>
      </c>
      <c r="P33" s="19">
        <v>2</v>
      </c>
      <c r="Q33" s="19">
        <v>2</v>
      </c>
      <c r="R33" s="22">
        <v>0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</row>
    <row r="34" spans="1:34" ht="14.25" customHeight="1" x14ac:dyDescent="0.25">
      <c r="A34" s="42"/>
      <c r="B34" s="74" t="s">
        <v>112</v>
      </c>
      <c r="C34" s="75"/>
      <c r="D34" s="17" t="s">
        <v>97</v>
      </c>
      <c r="E34" s="19">
        <v>4</v>
      </c>
      <c r="F34" s="19"/>
      <c r="G34" s="19"/>
      <c r="H34" s="19"/>
      <c r="I34" s="19"/>
      <c r="J34" s="19"/>
      <c r="K34" s="53"/>
      <c r="L34" s="53"/>
      <c r="M34" s="19"/>
      <c r="N34" s="19">
        <v>4</v>
      </c>
      <c r="O34" s="19">
        <v>2</v>
      </c>
      <c r="P34" s="19">
        <v>2</v>
      </c>
      <c r="Q34" s="19">
        <v>2</v>
      </c>
      <c r="R34" s="19">
        <v>0</v>
      </c>
      <c r="S34" s="19"/>
      <c r="T34" s="22">
        <v>0</v>
      </c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</row>
    <row r="35" spans="1:34" ht="14.25" customHeight="1" x14ac:dyDescent="0.25">
      <c r="A35" s="42"/>
      <c r="B35" s="74" t="s">
        <v>113</v>
      </c>
      <c r="C35" s="75"/>
      <c r="D35" s="17" t="s">
        <v>97</v>
      </c>
      <c r="E35" s="19">
        <v>5</v>
      </c>
      <c r="F35" s="19"/>
      <c r="G35" s="19"/>
      <c r="H35" s="19"/>
      <c r="I35" s="19"/>
      <c r="J35" s="19"/>
      <c r="K35" s="53"/>
      <c r="L35" s="53"/>
      <c r="M35" s="53"/>
      <c r="N35" s="19"/>
      <c r="O35" s="19">
        <v>5</v>
      </c>
      <c r="P35" s="19">
        <v>5</v>
      </c>
      <c r="Q35" s="19">
        <v>5</v>
      </c>
      <c r="R35" s="19">
        <v>3</v>
      </c>
      <c r="S35" s="19">
        <v>1</v>
      </c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</row>
    <row r="36" spans="1:34" ht="14.25" customHeight="1" x14ac:dyDescent="0.25">
      <c r="A36" s="42"/>
      <c r="B36" s="74" t="s">
        <v>114</v>
      </c>
      <c r="C36" s="75"/>
      <c r="D36" s="17" t="s">
        <v>93</v>
      </c>
      <c r="E36" s="19">
        <v>5</v>
      </c>
      <c r="F36" s="19"/>
      <c r="G36" s="19"/>
      <c r="H36" s="19"/>
      <c r="I36" s="19"/>
      <c r="J36" s="19"/>
      <c r="K36" s="53">
        <v>5</v>
      </c>
      <c r="L36" s="19">
        <v>3</v>
      </c>
      <c r="M36" s="53">
        <v>1</v>
      </c>
      <c r="N36" s="22">
        <v>0</v>
      </c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</row>
    <row r="37" spans="1:34" ht="14.25" customHeight="1" x14ac:dyDescent="0.25">
      <c r="A37" s="42"/>
      <c r="B37" s="74" t="s">
        <v>115</v>
      </c>
      <c r="C37" s="75"/>
      <c r="D37" s="17" t="s">
        <v>93</v>
      </c>
      <c r="E37" s="19">
        <v>5</v>
      </c>
      <c r="F37" s="19"/>
      <c r="G37" s="19"/>
      <c r="H37" s="19"/>
      <c r="I37" s="19"/>
      <c r="J37" s="19"/>
      <c r="K37" s="19"/>
      <c r="L37" s="53"/>
      <c r="M37" s="53"/>
      <c r="N37" s="19">
        <v>5</v>
      </c>
      <c r="O37" s="19">
        <v>3</v>
      </c>
      <c r="P37" s="19">
        <v>3</v>
      </c>
      <c r="Q37" s="19">
        <v>3</v>
      </c>
      <c r="R37" s="19">
        <v>1</v>
      </c>
      <c r="S37" s="22">
        <v>0</v>
      </c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</row>
    <row r="38" spans="1:34" ht="14.25" customHeight="1" x14ac:dyDescent="0.25">
      <c r="A38" s="42"/>
      <c r="B38" s="74" t="s">
        <v>116</v>
      </c>
      <c r="C38" s="75"/>
      <c r="D38" s="20" t="s">
        <v>95</v>
      </c>
      <c r="E38" s="19">
        <v>5</v>
      </c>
      <c r="F38" s="19"/>
      <c r="G38" s="19"/>
      <c r="H38" s="19"/>
      <c r="I38" s="19"/>
      <c r="J38" s="19"/>
      <c r="K38" s="19"/>
      <c r="L38" s="19"/>
      <c r="M38" s="53"/>
      <c r="N38" s="53"/>
      <c r="O38" s="19">
        <v>5</v>
      </c>
      <c r="P38" s="19">
        <v>5</v>
      </c>
      <c r="Q38" s="19">
        <v>5</v>
      </c>
      <c r="R38" s="19">
        <v>3</v>
      </c>
      <c r="S38" s="19">
        <v>1</v>
      </c>
      <c r="T38" s="22">
        <v>0</v>
      </c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</row>
    <row r="39" spans="1:34" ht="14.25" customHeight="1" x14ac:dyDescent="0.25">
      <c r="A39" s="42"/>
      <c r="B39" s="74" t="s">
        <v>69</v>
      </c>
      <c r="C39" s="75"/>
      <c r="D39" s="20" t="s">
        <v>91</v>
      </c>
      <c r="E39" s="19">
        <v>6</v>
      </c>
      <c r="F39" s="19"/>
      <c r="G39" s="19"/>
      <c r="H39" s="19"/>
      <c r="I39" s="19"/>
      <c r="J39" s="19"/>
      <c r="K39" s="19">
        <v>6</v>
      </c>
      <c r="L39" s="19">
        <v>4</v>
      </c>
      <c r="M39" s="19">
        <v>2</v>
      </c>
      <c r="N39" s="22">
        <v>0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</row>
    <row r="40" spans="1:34" ht="14.25" customHeight="1" x14ac:dyDescent="0.25">
      <c r="A40" s="42"/>
      <c r="B40" s="74" t="s">
        <v>68</v>
      </c>
      <c r="C40" s="75"/>
      <c r="D40" s="20" t="s">
        <v>91</v>
      </c>
      <c r="E40" s="19">
        <v>6</v>
      </c>
      <c r="F40" s="19"/>
      <c r="G40" s="19"/>
      <c r="H40" s="19"/>
      <c r="I40" s="19"/>
      <c r="J40" s="19"/>
      <c r="K40" s="19">
        <v>6</v>
      </c>
      <c r="L40" s="19">
        <v>4</v>
      </c>
      <c r="M40" s="19">
        <v>2</v>
      </c>
      <c r="N40" s="22">
        <v>0</v>
      </c>
      <c r="O40" s="53"/>
      <c r="P40" s="53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</row>
    <row r="41" spans="1:34" ht="14.25" customHeight="1" x14ac:dyDescent="0.25">
      <c r="A41" s="42"/>
      <c r="B41" s="74" t="s">
        <v>70</v>
      </c>
      <c r="C41" s="75"/>
      <c r="D41" s="20" t="s">
        <v>91</v>
      </c>
      <c r="E41" s="19">
        <v>4</v>
      </c>
      <c r="F41" s="19"/>
      <c r="G41" s="19"/>
      <c r="H41" s="19"/>
      <c r="I41" s="19"/>
      <c r="J41" s="19"/>
      <c r="K41" s="19"/>
      <c r="L41" s="19"/>
      <c r="M41" s="19"/>
      <c r="N41" s="19">
        <v>4</v>
      </c>
      <c r="O41" s="53">
        <v>2</v>
      </c>
      <c r="P41" s="19">
        <v>2</v>
      </c>
      <c r="Q41" s="19">
        <v>2</v>
      </c>
      <c r="R41" s="22">
        <v>0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</row>
    <row r="42" spans="1:34" ht="14.25" customHeight="1" x14ac:dyDescent="0.25">
      <c r="A42" s="42"/>
      <c r="B42" s="74" t="s">
        <v>117</v>
      </c>
      <c r="C42" s="75"/>
      <c r="D42" s="20" t="s">
        <v>99</v>
      </c>
      <c r="E42" s="19">
        <v>4</v>
      </c>
      <c r="F42" s="19"/>
      <c r="G42" s="19"/>
      <c r="H42" s="19"/>
      <c r="I42" s="19"/>
      <c r="J42" s="19"/>
      <c r="K42" s="19"/>
      <c r="L42" s="19"/>
      <c r="M42" s="19"/>
      <c r="N42" s="19"/>
      <c r="O42" s="53"/>
      <c r="P42" s="19"/>
      <c r="Q42" s="53"/>
      <c r="R42" s="53"/>
      <c r="S42" s="19"/>
      <c r="T42" s="19"/>
      <c r="U42" s="19">
        <v>4</v>
      </c>
      <c r="V42" s="19">
        <v>2</v>
      </c>
      <c r="W42" s="19">
        <v>2</v>
      </c>
      <c r="X42" s="19">
        <v>2</v>
      </c>
      <c r="Y42" s="22">
        <v>0</v>
      </c>
      <c r="Z42" s="19"/>
      <c r="AA42" s="19"/>
      <c r="AB42" s="19"/>
      <c r="AC42" s="19"/>
      <c r="AD42" s="19"/>
      <c r="AE42" s="19"/>
      <c r="AF42" s="19"/>
      <c r="AG42" s="19"/>
      <c r="AH42" s="19"/>
    </row>
    <row r="43" spans="1:34" ht="14.25" customHeight="1" x14ac:dyDescent="0.25">
      <c r="A43" s="42"/>
      <c r="B43" s="74" t="s">
        <v>118</v>
      </c>
      <c r="C43" s="75"/>
      <c r="D43" s="20" t="s">
        <v>99</v>
      </c>
      <c r="E43" s="19">
        <v>6</v>
      </c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53"/>
      <c r="R43" s="53"/>
      <c r="S43" s="19"/>
      <c r="T43" s="19"/>
      <c r="U43" s="19"/>
      <c r="V43" s="19"/>
      <c r="W43" s="19"/>
      <c r="X43" s="19"/>
      <c r="Y43" s="19"/>
      <c r="Z43" s="19">
        <v>6</v>
      </c>
      <c r="AA43" s="19">
        <v>4</v>
      </c>
      <c r="AB43" s="19">
        <v>2</v>
      </c>
      <c r="AC43" s="22">
        <v>0</v>
      </c>
      <c r="AD43" s="19"/>
      <c r="AE43" s="19"/>
      <c r="AF43" s="19"/>
      <c r="AG43" s="19"/>
      <c r="AH43" s="19"/>
    </row>
    <row r="44" spans="1:34" ht="14.25" customHeight="1" x14ac:dyDescent="0.25">
      <c r="A44" s="42"/>
      <c r="B44" s="74" t="s">
        <v>119</v>
      </c>
      <c r="C44" s="75"/>
      <c r="D44" s="20" t="s">
        <v>99</v>
      </c>
      <c r="E44" s="19">
        <v>14</v>
      </c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53"/>
      <c r="R44" s="53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>
        <v>14</v>
      </c>
      <c r="AF44" s="19">
        <v>10</v>
      </c>
      <c r="AG44" s="19">
        <v>7</v>
      </c>
      <c r="AH44" s="19">
        <v>6</v>
      </c>
    </row>
    <row r="45" spans="1:34" ht="14.25" customHeight="1" x14ac:dyDescent="0.25">
      <c r="A45" s="42"/>
      <c r="B45" s="82" t="s">
        <v>22</v>
      </c>
      <c r="C45" s="77"/>
      <c r="D45" s="15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</row>
    <row r="46" spans="1:34" ht="14.25" customHeight="1" x14ac:dyDescent="0.25">
      <c r="A46" s="42"/>
      <c r="B46" s="74" t="s">
        <v>120</v>
      </c>
      <c r="C46" s="75"/>
      <c r="D46" s="20" t="s">
        <v>91</v>
      </c>
      <c r="E46" s="19">
        <v>2</v>
      </c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>
        <v>2</v>
      </c>
      <c r="T46" s="19">
        <v>1</v>
      </c>
      <c r="U46" s="22">
        <v>0</v>
      </c>
      <c r="V46" s="19"/>
      <c r="W46" s="53"/>
      <c r="X46" s="53"/>
      <c r="Y46" s="19"/>
      <c r="Z46" s="19"/>
      <c r="AA46" s="19"/>
      <c r="AB46" s="19"/>
      <c r="AC46" s="19"/>
      <c r="AD46" s="19"/>
      <c r="AE46" s="19"/>
      <c r="AF46" s="19"/>
      <c r="AG46" s="19"/>
      <c r="AH46" s="19"/>
    </row>
    <row r="47" spans="1:34" ht="14.25" customHeight="1" x14ac:dyDescent="0.25">
      <c r="A47" s="42"/>
      <c r="B47" s="74" t="s">
        <v>78</v>
      </c>
      <c r="C47" s="75"/>
      <c r="D47" s="20" t="s">
        <v>91</v>
      </c>
      <c r="E47" s="19">
        <v>2</v>
      </c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>
        <v>2</v>
      </c>
      <c r="T47" s="19">
        <v>1</v>
      </c>
      <c r="U47" s="22">
        <v>0</v>
      </c>
      <c r="V47" s="19"/>
      <c r="W47" s="53"/>
      <c r="X47" s="53"/>
      <c r="Y47" s="19"/>
      <c r="Z47" s="19"/>
      <c r="AA47" s="19"/>
      <c r="AB47" s="19"/>
      <c r="AC47" s="19"/>
      <c r="AD47" s="19"/>
      <c r="AE47" s="19"/>
      <c r="AF47" s="19"/>
      <c r="AG47" s="19"/>
      <c r="AH47" s="19"/>
    </row>
    <row r="48" spans="1:34" ht="14.25" customHeight="1" x14ac:dyDescent="0.25">
      <c r="A48" s="42"/>
      <c r="B48" s="74" t="s">
        <v>79</v>
      </c>
      <c r="C48" s="75"/>
      <c r="D48" s="20" t="s">
        <v>91</v>
      </c>
      <c r="E48" s="19">
        <v>2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>
        <v>2</v>
      </c>
      <c r="U48" s="19">
        <v>1</v>
      </c>
      <c r="V48" s="22">
        <v>0</v>
      </c>
      <c r="W48" s="53"/>
      <c r="X48" s="53"/>
      <c r="Y48" s="19"/>
      <c r="Z48" s="19"/>
      <c r="AA48" s="19"/>
      <c r="AB48" s="19"/>
      <c r="AC48" s="19"/>
      <c r="AD48" s="19"/>
      <c r="AE48" s="19"/>
      <c r="AF48" s="19"/>
      <c r="AG48" s="19"/>
      <c r="AH48" s="19"/>
    </row>
    <row r="49" spans="1:34" ht="14.25" customHeight="1" x14ac:dyDescent="0.25">
      <c r="A49" s="42"/>
      <c r="B49" s="74" t="s">
        <v>80</v>
      </c>
      <c r="C49" s="75"/>
      <c r="D49" s="20" t="s">
        <v>91</v>
      </c>
      <c r="E49" s="19">
        <v>2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>
        <v>2</v>
      </c>
      <c r="U49" s="19">
        <v>1</v>
      </c>
      <c r="V49" s="22">
        <v>0</v>
      </c>
      <c r="W49" s="53"/>
      <c r="X49" s="53"/>
      <c r="Y49" s="19"/>
      <c r="Z49" s="19"/>
      <c r="AA49" s="19"/>
      <c r="AB49" s="19"/>
      <c r="AC49" s="19"/>
      <c r="AD49" s="19"/>
      <c r="AE49" s="19"/>
      <c r="AF49" s="19"/>
      <c r="AG49" s="19"/>
      <c r="AH49" s="19"/>
    </row>
    <row r="50" spans="1:34" ht="15" customHeight="1" x14ac:dyDescent="0.25">
      <c r="A50" s="42"/>
      <c r="B50" s="74" t="s">
        <v>121</v>
      </c>
      <c r="C50" s="75"/>
      <c r="D50" s="20" t="s">
        <v>91</v>
      </c>
      <c r="E50" s="19">
        <v>2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>
        <v>2</v>
      </c>
      <c r="V50" s="19">
        <v>1</v>
      </c>
      <c r="W50" s="22">
        <v>0</v>
      </c>
      <c r="X50" s="53"/>
      <c r="Y50" s="19"/>
      <c r="Z50" s="19"/>
      <c r="AA50" s="19"/>
      <c r="AB50" s="19"/>
      <c r="AC50" s="19"/>
      <c r="AD50" s="19"/>
      <c r="AE50" s="19"/>
      <c r="AF50" s="19"/>
      <c r="AG50" s="19"/>
      <c r="AH50" s="19"/>
    </row>
    <row r="51" spans="1:34" ht="15" customHeight="1" x14ac:dyDescent="0.25">
      <c r="A51" s="42"/>
      <c r="B51" s="74" t="s">
        <v>123</v>
      </c>
      <c r="C51" s="75"/>
      <c r="D51" s="20" t="s">
        <v>91</v>
      </c>
      <c r="E51" s="19">
        <v>2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>
        <v>2</v>
      </c>
      <c r="V51" s="19">
        <v>2</v>
      </c>
      <c r="W51" s="19">
        <v>1</v>
      </c>
      <c r="X51" s="22">
        <v>0</v>
      </c>
      <c r="Y51" s="53"/>
      <c r="Z51" s="19"/>
      <c r="AA51" s="19"/>
      <c r="AB51" s="19"/>
      <c r="AC51" s="19"/>
      <c r="AD51" s="19"/>
      <c r="AE51" s="19"/>
      <c r="AF51" s="19"/>
      <c r="AG51" s="19"/>
      <c r="AH51" s="19"/>
    </row>
    <row r="52" spans="1:34" ht="15" customHeight="1" x14ac:dyDescent="0.25">
      <c r="A52" s="42"/>
      <c r="B52" s="74" t="s">
        <v>122</v>
      </c>
      <c r="C52" s="75"/>
      <c r="D52" s="20" t="s">
        <v>93</v>
      </c>
      <c r="E52" s="19">
        <v>2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>
        <v>2</v>
      </c>
      <c r="V52" s="19">
        <v>1</v>
      </c>
      <c r="W52" s="22">
        <v>0</v>
      </c>
      <c r="X52" s="19"/>
      <c r="Y52" s="53"/>
      <c r="Z52" s="19"/>
      <c r="AA52" s="19"/>
      <c r="AB52" s="19"/>
      <c r="AC52" s="19"/>
      <c r="AD52" s="19"/>
      <c r="AE52" s="19"/>
      <c r="AF52" s="19"/>
      <c r="AG52" s="19"/>
      <c r="AH52" s="19"/>
    </row>
    <row r="53" spans="1:34" ht="15" customHeight="1" x14ac:dyDescent="0.25">
      <c r="A53" s="42"/>
      <c r="B53" s="74" t="s">
        <v>124</v>
      </c>
      <c r="C53" s="75"/>
      <c r="D53" s="20" t="s">
        <v>95</v>
      </c>
      <c r="E53" s="19">
        <v>2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>
        <v>2</v>
      </c>
      <c r="X53" s="19">
        <v>1</v>
      </c>
      <c r="Y53" s="22">
        <v>0</v>
      </c>
      <c r="Z53" s="19"/>
      <c r="AA53" s="19"/>
      <c r="AB53" s="19"/>
      <c r="AC53" s="19"/>
      <c r="AD53" s="19"/>
      <c r="AE53" s="19"/>
      <c r="AF53" s="19"/>
      <c r="AG53" s="19"/>
      <c r="AH53" s="19"/>
    </row>
    <row r="54" spans="1:34" ht="15" customHeight="1" x14ac:dyDescent="0.25">
      <c r="A54" s="42"/>
      <c r="B54" s="74" t="s">
        <v>125</v>
      </c>
      <c r="C54" s="75"/>
      <c r="D54" s="20" t="s">
        <v>95</v>
      </c>
      <c r="E54" s="19">
        <v>2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>
        <v>2</v>
      </c>
      <c r="X54" s="19">
        <v>1</v>
      </c>
      <c r="Y54" s="22">
        <v>0</v>
      </c>
      <c r="Z54" s="19"/>
      <c r="AA54" s="19"/>
      <c r="AB54" s="19"/>
      <c r="AC54" s="19"/>
      <c r="AD54" s="19"/>
      <c r="AE54" s="19"/>
      <c r="AF54" s="19"/>
      <c r="AG54" s="19"/>
      <c r="AH54" s="19"/>
    </row>
    <row r="55" spans="1:34" ht="14.25" customHeight="1" x14ac:dyDescent="0.25">
      <c r="A55" s="42"/>
      <c r="B55" s="80" t="s">
        <v>46</v>
      </c>
      <c r="C55" s="81"/>
      <c r="D55" s="15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</row>
    <row r="56" spans="1:34" ht="14.25" customHeight="1" x14ac:dyDescent="0.25">
      <c r="A56" s="42"/>
      <c r="B56" s="76" t="s">
        <v>23</v>
      </c>
      <c r="C56" s="77"/>
      <c r="D56" s="20" t="s">
        <v>16</v>
      </c>
      <c r="E56" s="19">
        <v>8</v>
      </c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>
        <v>8</v>
      </c>
      <c r="Y56" s="19">
        <v>8</v>
      </c>
      <c r="Z56" s="22">
        <v>8</v>
      </c>
      <c r="AA56" s="19">
        <v>8</v>
      </c>
      <c r="AB56" s="19">
        <v>8</v>
      </c>
      <c r="AC56" s="19">
        <v>8</v>
      </c>
      <c r="AD56" s="19">
        <v>8</v>
      </c>
      <c r="AE56" s="19">
        <v>4</v>
      </c>
      <c r="AF56" s="22">
        <v>0</v>
      </c>
      <c r="AG56" s="19"/>
      <c r="AH56" s="19"/>
    </row>
    <row r="57" spans="1:34" ht="14.25" customHeight="1" x14ac:dyDescent="0.25">
      <c r="A57" s="42"/>
      <c r="B57" s="78" t="s">
        <v>24</v>
      </c>
      <c r="C57" s="77"/>
      <c r="D57" s="20" t="s">
        <v>16</v>
      </c>
      <c r="E57" s="17">
        <v>20</v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>
        <v>20</v>
      </c>
      <c r="Y57" s="17">
        <v>20</v>
      </c>
      <c r="Z57" s="17">
        <v>20</v>
      </c>
      <c r="AA57" s="17">
        <v>20</v>
      </c>
      <c r="AB57" s="17">
        <v>20</v>
      </c>
      <c r="AC57" s="17">
        <v>16</v>
      </c>
      <c r="AD57" s="17">
        <v>12</v>
      </c>
      <c r="AE57" s="17">
        <v>12</v>
      </c>
      <c r="AF57" s="17">
        <v>8</v>
      </c>
      <c r="AG57" s="52">
        <v>4</v>
      </c>
      <c r="AH57" s="17">
        <v>2</v>
      </c>
    </row>
    <row r="58" spans="1:34" ht="14.25" customHeight="1" x14ac:dyDescent="0.25">
      <c r="A58" s="42"/>
      <c r="B58" s="78" t="s">
        <v>25</v>
      </c>
      <c r="C58" s="77"/>
      <c r="D58" s="20" t="s">
        <v>16</v>
      </c>
      <c r="E58" s="20">
        <v>10</v>
      </c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>
        <v>10</v>
      </c>
      <c r="Y58" s="20">
        <v>10</v>
      </c>
      <c r="Z58" s="20">
        <v>10</v>
      </c>
      <c r="AA58" s="20">
        <v>10</v>
      </c>
      <c r="AB58" s="20">
        <v>10</v>
      </c>
      <c r="AC58" s="20">
        <v>10</v>
      </c>
      <c r="AD58" s="20">
        <v>10</v>
      </c>
      <c r="AE58" s="20">
        <v>10</v>
      </c>
      <c r="AF58" s="20">
        <v>8</v>
      </c>
      <c r="AG58" s="52">
        <v>4</v>
      </c>
      <c r="AH58" s="23">
        <v>0</v>
      </c>
    </row>
    <row r="59" spans="1:34" ht="14.25" customHeight="1" x14ac:dyDescent="0.25">
      <c r="A59" s="42"/>
      <c r="B59" s="78" t="s">
        <v>26</v>
      </c>
      <c r="C59" s="77"/>
      <c r="D59" s="20" t="s">
        <v>16</v>
      </c>
      <c r="E59" s="20">
        <v>2</v>
      </c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>
        <v>2</v>
      </c>
      <c r="Y59" s="20">
        <v>2</v>
      </c>
      <c r="Z59" s="20">
        <v>2</v>
      </c>
      <c r="AA59" s="20">
        <v>2</v>
      </c>
      <c r="AB59" s="20">
        <v>2</v>
      </c>
      <c r="AC59" s="20">
        <v>2</v>
      </c>
      <c r="AD59" s="20">
        <v>2</v>
      </c>
      <c r="AE59" s="20">
        <v>2</v>
      </c>
      <c r="AF59" s="20">
        <v>2</v>
      </c>
      <c r="AG59" s="52">
        <v>2</v>
      </c>
      <c r="AH59" s="52">
        <v>2</v>
      </c>
    </row>
    <row r="60" spans="1:34" ht="14.25" customHeight="1" x14ac:dyDescent="0.25">
      <c r="A60" s="42"/>
      <c r="B60" s="42"/>
      <c r="C60" s="42"/>
      <c r="D60" s="43" t="s">
        <v>27</v>
      </c>
      <c r="E60" s="44">
        <f>SUM(E16:E59)</f>
        <v>176</v>
      </c>
      <c r="F60" s="44">
        <f t="shared" ref="E60:AG60" si="0">SUM(F16:F59)</f>
        <v>17</v>
      </c>
      <c r="G60" s="44">
        <f t="shared" si="0"/>
        <v>11</v>
      </c>
      <c r="H60" s="44">
        <f t="shared" si="0"/>
        <v>2</v>
      </c>
      <c r="I60" s="44">
        <f t="shared" si="0"/>
        <v>0</v>
      </c>
      <c r="J60" s="44">
        <f t="shared" si="0"/>
        <v>0</v>
      </c>
      <c r="K60" s="44">
        <f t="shared" si="0"/>
        <v>32</v>
      </c>
      <c r="L60" s="44">
        <f t="shared" si="0"/>
        <v>20</v>
      </c>
      <c r="M60" s="44">
        <f t="shared" si="0"/>
        <v>8</v>
      </c>
      <c r="N60" s="44">
        <f t="shared" si="0"/>
        <v>17</v>
      </c>
      <c r="O60" s="44">
        <f t="shared" si="0"/>
        <v>19</v>
      </c>
      <c r="P60" s="44">
        <f t="shared" si="0"/>
        <v>19</v>
      </c>
      <c r="Q60" s="44">
        <f t="shared" si="0"/>
        <v>19</v>
      </c>
      <c r="R60" s="44">
        <f t="shared" si="0"/>
        <v>7</v>
      </c>
      <c r="S60" s="44">
        <f t="shared" si="0"/>
        <v>6</v>
      </c>
      <c r="T60" s="44">
        <f t="shared" si="0"/>
        <v>6</v>
      </c>
      <c r="U60" s="44">
        <f t="shared" si="0"/>
        <v>12</v>
      </c>
      <c r="V60" s="44">
        <f t="shared" si="0"/>
        <v>6</v>
      </c>
      <c r="W60" s="44">
        <f t="shared" si="0"/>
        <v>7</v>
      </c>
      <c r="X60" s="44">
        <f t="shared" si="0"/>
        <v>44</v>
      </c>
      <c r="Y60" s="44">
        <f t="shared" si="0"/>
        <v>40</v>
      </c>
      <c r="Z60" s="44">
        <f t="shared" si="0"/>
        <v>46</v>
      </c>
      <c r="AA60" s="44">
        <f t="shared" si="0"/>
        <v>44</v>
      </c>
      <c r="AB60" s="44">
        <f t="shared" si="0"/>
        <v>42</v>
      </c>
      <c r="AC60" s="44">
        <f t="shared" si="0"/>
        <v>36</v>
      </c>
      <c r="AD60" s="44">
        <f t="shared" si="0"/>
        <v>32</v>
      </c>
      <c r="AE60" s="44">
        <f t="shared" si="0"/>
        <v>42</v>
      </c>
      <c r="AF60" s="44">
        <f t="shared" si="0"/>
        <v>28</v>
      </c>
      <c r="AG60" s="44">
        <f t="shared" si="0"/>
        <v>17</v>
      </c>
      <c r="AH60" s="44">
        <v>0</v>
      </c>
    </row>
    <row r="61" spans="1:34" ht="14.25" customHeight="1" x14ac:dyDescent="0.3">
      <c r="D61" s="11"/>
    </row>
    <row r="62" spans="1:34" ht="14.25" customHeight="1" x14ac:dyDescent="0.3">
      <c r="D62" s="11"/>
      <c r="E62" s="12"/>
    </row>
    <row r="63" spans="1:34" ht="14.25" customHeight="1" x14ac:dyDescent="0.3">
      <c r="D63" s="11"/>
      <c r="E63" s="12"/>
    </row>
    <row r="64" spans="1:34" ht="14.25" customHeight="1" x14ac:dyDescent="0.3">
      <c r="D64" s="11"/>
      <c r="E64" s="12"/>
    </row>
    <row r="65" spans="4:5" ht="14.25" customHeight="1" x14ac:dyDescent="0.3">
      <c r="D65" s="11"/>
      <c r="E65" s="12"/>
    </row>
    <row r="66" spans="4:5" ht="14.25" customHeight="1" x14ac:dyDescent="0.3">
      <c r="D66" s="11"/>
      <c r="E66" s="12"/>
    </row>
    <row r="67" spans="4:5" ht="14.25" customHeight="1" x14ac:dyDescent="0.3">
      <c r="D67" s="11"/>
      <c r="E67" s="12"/>
    </row>
    <row r="68" spans="4:5" ht="14.25" customHeight="1" x14ac:dyDescent="0.3">
      <c r="D68" s="11"/>
      <c r="E68" s="12"/>
    </row>
    <row r="69" spans="4:5" ht="14.25" customHeight="1" x14ac:dyDescent="0.3">
      <c r="D69" s="11"/>
      <c r="E69" s="12"/>
    </row>
    <row r="70" spans="4:5" ht="14.25" customHeight="1" x14ac:dyDescent="0.3">
      <c r="D70" s="11"/>
      <c r="E70" s="12"/>
    </row>
    <row r="71" spans="4:5" ht="14.25" customHeight="1" x14ac:dyDescent="0.3">
      <c r="D71" s="11"/>
      <c r="E71" s="12"/>
    </row>
    <row r="72" spans="4:5" ht="14.25" customHeight="1" x14ac:dyDescent="0.3">
      <c r="D72" s="11"/>
      <c r="E72" s="12"/>
    </row>
    <row r="73" spans="4:5" ht="14.25" customHeight="1" x14ac:dyDescent="0.3">
      <c r="D73" s="11"/>
      <c r="E73" s="12"/>
    </row>
    <row r="74" spans="4:5" ht="14.25" customHeight="1" x14ac:dyDescent="0.3">
      <c r="D74" s="11"/>
      <c r="E74" s="12"/>
    </row>
    <row r="75" spans="4:5" ht="14.25" customHeight="1" x14ac:dyDescent="0.3">
      <c r="D75" s="11"/>
      <c r="E75" s="12"/>
    </row>
    <row r="76" spans="4:5" ht="14.25" customHeight="1" x14ac:dyDescent="0.3">
      <c r="D76" s="11"/>
      <c r="E76" s="12"/>
    </row>
    <row r="77" spans="4:5" ht="14.25" customHeight="1" x14ac:dyDescent="0.3">
      <c r="D77" s="11"/>
      <c r="E77" s="12"/>
    </row>
    <row r="78" spans="4:5" ht="14.25" customHeight="1" x14ac:dyDescent="0.3">
      <c r="D78" s="11"/>
      <c r="E78" s="12"/>
    </row>
    <row r="79" spans="4:5" ht="14.25" customHeight="1" x14ac:dyDescent="0.3">
      <c r="D79" s="11"/>
      <c r="E79" s="12"/>
    </row>
    <row r="80" spans="4:5" ht="14.25" customHeight="1" x14ac:dyDescent="0.3">
      <c r="D80" s="11"/>
      <c r="E80" s="12"/>
    </row>
    <row r="81" spans="4:5" ht="14.25" customHeight="1" x14ac:dyDescent="0.3">
      <c r="D81" s="11"/>
      <c r="E81" s="12"/>
    </row>
    <row r="82" spans="4:5" ht="14.25" customHeight="1" x14ac:dyDescent="0.3">
      <c r="D82" s="11"/>
      <c r="E82" s="12"/>
    </row>
    <row r="83" spans="4:5" ht="14.25" customHeight="1" x14ac:dyDescent="0.3">
      <c r="D83" s="11"/>
      <c r="E83" s="12"/>
    </row>
    <row r="84" spans="4:5" ht="14.25" customHeight="1" x14ac:dyDescent="0.3">
      <c r="D84" s="11"/>
      <c r="E84" s="12"/>
    </row>
    <row r="85" spans="4:5" ht="14.25" customHeight="1" x14ac:dyDescent="0.3">
      <c r="D85" s="11"/>
      <c r="E85" s="12"/>
    </row>
    <row r="86" spans="4:5" ht="14.25" customHeight="1" x14ac:dyDescent="0.3">
      <c r="D86" s="11"/>
      <c r="E86" s="12"/>
    </row>
    <row r="87" spans="4:5" ht="14.25" customHeight="1" x14ac:dyDescent="0.3">
      <c r="D87" s="11"/>
      <c r="E87" s="12"/>
    </row>
    <row r="88" spans="4:5" ht="14.25" customHeight="1" x14ac:dyDescent="0.3">
      <c r="D88" s="11"/>
      <c r="E88" s="12"/>
    </row>
    <row r="89" spans="4:5" ht="14.25" customHeight="1" x14ac:dyDescent="0.3">
      <c r="D89" s="11"/>
      <c r="E89" s="12"/>
    </row>
    <row r="90" spans="4:5" ht="14.25" customHeight="1" x14ac:dyDescent="0.3">
      <c r="D90" s="11"/>
      <c r="E90" s="12"/>
    </row>
    <row r="91" spans="4:5" ht="14.25" customHeight="1" x14ac:dyDescent="0.3">
      <c r="D91" s="11"/>
      <c r="E91" s="12"/>
    </row>
    <row r="92" spans="4:5" ht="14.25" customHeight="1" x14ac:dyDescent="0.3">
      <c r="D92" s="11"/>
      <c r="E92" s="12"/>
    </row>
    <row r="93" spans="4:5" ht="14.25" customHeight="1" x14ac:dyDescent="0.3">
      <c r="D93" s="11"/>
      <c r="E93" s="12"/>
    </row>
    <row r="94" spans="4:5" ht="14.25" customHeight="1" x14ac:dyDescent="0.3">
      <c r="D94" s="11"/>
      <c r="E94" s="12"/>
    </row>
    <row r="95" spans="4:5" ht="14.25" customHeight="1" x14ac:dyDescent="0.3">
      <c r="D95" s="11"/>
      <c r="E95" s="12"/>
    </row>
    <row r="96" spans="4:5" ht="14.25" customHeight="1" x14ac:dyDescent="0.3">
      <c r="D96" s="11"/>
      <c r="E96" s="12"/>
    </row>
    <row r="97" spans="4:5" ht="14.25" customHeight="1" x14ac:dyDescent="0.3">
      <c r="D97" s="11"/>
      <c r="E97" s="12"/>
    </row>
    <row r="98" spans="4:5" ht="14.25" customHeight="1" x14ac:dyDescent="0.3">
      <c r="D98" s="11"/>
      <c r="E98" s="12"/>
    </row>
    <row r="99" spans="4:5" ht="14.25" customHeight="1" x14ac:dyDescent="0.3">
      <c r="D99" s="11"/>
      <c r="E99" s="12"/>
    </row>
    <row r="100" spans="4:5" ht="14.25" customHeight="1" x14ac:dyDescent="0.3">
      <c r="D100" s="11"/>
      <c r="E100" s="12"/>
    </row>
    <row r="101" spans="4:5" ht="14.25" customHeight="1" x14ac:dyDescent="0.3">
      <c r="D101" s="11"/>
      <c r="E101" s="12"/>
    </row>
    <row r="102" spans="4:5" ht="14.25" customHeight="1" x14ac:dyDescent="0.3">
      <c r="D102" s="11"/>
      <c r="E102" s="12"/>
    </row>
    <row r="103" spans="4:5" ht="14.25" customHeight="1" x14ac:dyDescent="0.3">
      <c r="D103" s="11"/>
      <c r="E103" s="12"/>
    </row>
    <row r="104" spans="4:5" ht="14.25" customHeight="1" x14ac:dyDescent="0.3">
      <c r="D104" s="11"/>
      <c r="E104" s="12"/>
    </row>
    <row r="105" spans="4:5" ht="14.25" customHeight="1" x14ac:dyDescent="0.3">
      <c r="D105" s="11"/>
      <c r="E105" s="12"/>
    </row>
    <row r="106" spans="4:5" ht="14.25" customHeight="1" x14ac:dyDescent="0.3">
      <c r="D106" s="11"/>
      <c r="E106" s="12"/>
    </row>
    <row r="107" spans="4:5" ht="14.25" customHeight="1" x14ac:dyDescent="0.3">
      <c r="D107" s="11"/>
      <c r="E107" s="12"/>
    </row>
    <row r="108" spans="4:5" ht="14.25" customHeight="1" x14ac:dyDescent="0.3">
      <c r="D108" s="11"/>
      <c r="E108" s="12"/>
    </row>
    <row r="109" spans="4:5" ht="14.25" customHeight="1" x14ac:dyDescent="0.3">
      <c r="D109" s="11"/>
      <c r="E109" s="12"/>
    </row>
    <row r="110" spans="4:5" ht="14.25" customHeight="1" x14ac:dyDescent="0.3">
      <c r="D110" s="11"/>
      <c r="E110" s="12"/>
    </row>
    <row r="111" spans="4:5" ht="14.25" customHeight="1" x14ac:dyDescent="0.3">
      <c r="D111" s="11"/>
      <c r="E111" s="12"/>
    </row>
    <row r="112" spans="4:5" ht="14.25" customHeight="1" x14ac:dyDescent="0.3">
      <c r="D112" s="11"/>
      <c r="E112" s="12"/>
    </row>
    <row r="113" spans="4:5" ht="14.25" customHeight="1" x14ac:dyDescent="0.3">
      <c r="D113" s="11"/>
      <c r="E113" s="12"/>
    </row>
    <row r="114" spans="4:5" ht="14.25" customHeight="1" x14ac:dyDescent="0.3">
      <c r="D114" s="11"/>
      <c r="E114" s="12"/>
    </row>
    <row r="115" spans="4:5" ht="14.25" customHeight="1" x14ac:dyDescent="0.3">
      <c r="D115" s="11"/>
      <c r="E115" s="12"/>
    </row>
    <row r="116" spans="4:5" ht="14.25" customHeight="1" x14ac:dyDescent="0.3">
      <c r="D116" s="11"/>
      <c r="E116" s="12"/>
    </row>
    <row r="117" spans="4:5" ht="14.25" customHeight="1" x14ac:dyDescent="0.3">
      <c r="D117" s="11"/>
      <c r="E117" s="12"/>
    </row>
    <row r="118" spans="4:5" ht="14.25" customHeight="1" x14ac:dyDescent="0.3">
      <c r="D118" s="11"/>
      <c r="E118" s="12"/>
    </row>
    <row r="119" spans="4:5" ht="14.25" customHeight="1" x14ac:dyDescent="0.3">
      <c r="D119" s="11"/>
      <c r="E119" s="12"/>
    </row>
    <row r="120" spans="4:5" ht="14.25" customHeight="1" x14ac:dyDescent="0.3">
      <c r="D120" s="11"/>
      <c r="E120" s="12"/>
    </row>
    <row r="121" spans="4:5" ht="14.25" customHeight="1" x14ac:dyDescent="0.3">
      <c r="D121" s="11"/>
      <c r="E121" s="12"/>
    </row>
    <row r="122" spans="4:5" ht="14.25" customHeight="1" x14ac:dyDescent="0.3">
      <c r="D122" s="11"/>
      <c r="E122" s="12"/>
    </row>
    <row r="123" spans="4:5" ht="14.25" customHeight="1" x14ac:dyDescent="0.3">
      <c r="D123" s="11"/>
      <c r="E123" s="12"/>
    </row>
    <row r="124" spans="4:5" ht="14.25" customHeight="1" x14ac:dyDescent="0.3">
      <c r="D124" s="11"/>
      <c r="E124" s="12"/>
    </row>
    <row r="125" spans="4:5" ht="14.25" customHeight="1" x14ac:dyDescent="0.3">
      <c r="D125" s="11"/>
      <c r="E125" s="12"/>
    </row>
    <row r="126" spans="4:5" ht="14.25" customHeight="1" x14ac:dyDescent="0.3">
      <c r="D126" s="11"/>
      <c r="E126" s="12"/>
    </row>
    <row r="127" spans="4:5" ht="14.25" customHeight="1" x14ac:dyDescent="0.3">
      <c r="D127" s="11"/>
      <c r="E127" s="12"/>
    </row>
    <row r="128" spans="4:5" ht="14.25" customHeight="1" x14ac:dyDescent="0.3">
      <c r="D128" s="11"/>
      <c r="E128" s="12"/>
    </row>
    <row r="129" spans="4:5" ht="14.25" customHeight="1" x14ac:dyDescent="0.3">
      <c r="D129" s="11"/>
      <c r="E129" s="12"/>
    </row>
    <row r="130" spans="4:5" ht="14.25" customHeight="1" x14ac:dyDescent="0.3">
      <c r="D130" s="11"/>
      <c r="E130" s="12"/>
    </row>
    <row r="131" spans="4:5" ht="14.25" customHeight="1" x14ac:dyDescent="0.3">
      <c r="D131" s="11"/>
      <c r="E131" s="12"/>
    </row>
    <row r="132" spans="4:5" ht="14.25" customHeight="1" x14ac:dyDescent="0.3">
      <c r="D132" s="11"/>
      <c r="E132" s="12"/>
    </row>
    <row r="133" spans="4:5" ht="14.25" customHeight="1" x14ac:dyDescent="0.3">
      <c r="D133" s="11"/>
      <c r="E133" s="12"/>
    </row>
    <row r="134" spans="4:5" ht="14.25" customHeight="1" x14ac:dyDescent="0.3">
      <c r="D134" s="11"/>
      <c r="E134" s="12"/>
    </row>
    <row r="135" spans="4:5" ht="14.25" customHeight="1" x14ac:dyDescent="0.3">
      <c r="D135" s="11"/>
      <c r="E135" s="12"/>
    </row>
    <row r="136" spans="4:5" ht="14.25" customHeight="1" x14ac:dyDescent="0.3">
      <c r="D136" s="11"/>
      <c r="E136" s="12"/>
    </row>
    <row r="137" spans="4:5" ht="14.25" customHeight="1" x14ac:dyDescent="0.3">
      <c r="D137" s="11"/>
      <c r="E137" s="12"/>
    </row>
    <row r="138" spans="4:5" ht="14.25" customHeight="1" x14ac:dyDescent="0.3">
      <c r="D138" s="11"/>
      <c r="E138" s="12"/>
    </row>
    <row r="139" spans="4:5" ht="14.25" customHeight="1" x14ac:dyDescent="0.3">
      <c r="D139" s="11"/>
      <c r="E139" s="12"/>
    </row>
    <row r="140" spans="4:5" ht="14.25" customHeight="1" x14ac:dyDescent="0.3">
      <c r="D140" s="11"/>
      <c r="E140" s="12"/>
    </row>
    <row r="141" spans="4:5" ht="14.25" customHeight="1" x14ac:dyDescent="0.3">
      <c r="D141" s="11"/>
      <c r="E141" s="12"/>
    </row>
    <row r="142" spans="4:5" ht="14.25" customHeight="1" x14ac:dyDescent="0.3">
      <c r="D142" s="11"/>
      <c r="E142" s="12"/>
    </row>
    <row r="143" spans="4:5" ht="14.25" customHeight="1" x14ac:dyDescent="0.3">
      <c r="D143" s="11"/>
      <c r="E143" s="12"/>
    </row>
    <row r="144" spans="4:5" ht="14.25" customHeight="1" x14ac:dyDescent="0.3">
      <c r="D144" s="11"/>
      <c r="E144" s="12"/>
    </row>
    <row r="145" spans="4:5" ht="14.25" customHeight="1" x14ac:dyDescent="0.3">
      <c r="D145" s="11"/>
      <c r="E145" s="12"/>
    </row>
    <row r="146" spans="4:5" ht="14.25" customHeight="1" x14ac:dyDescent="0.3">
      <c r="D146" s="11"/>
      <c r="E146" s="12"/>
    </row>
    <row r="147" spans="4:5" ht="14.25" customHeight="1" x14ac:dyDescent="0.3">
      <c r="D147" s="11"/>
      <c r="E147" s="12"/>
    </row>
    <row r="148" spans="4:5" ht="14.25" customHeight="1" x14ac:dyDescent="0.3">
      <c r="D148" s="11"/>
      <c r="E148" s="12"/>
    </row>
    <row r="149" spans="4:5" ht="14.25" customHeight="1" x14ac:dyDescent="0.3">
      <c r="D149" s="11"/>
      <c r="E149" s="12"/>
    </row>
    <row r="150" spans="4:5" ht="14.25" customHeight="1" x14ac:dyDescent="0.3">
      <c r="D150" s="11"/>
      <c r="E150" s="12"/>
    </row>
    <row r="151" spans="4:5" ht="14.25" customHeight="1" x14ac:dyDescent="0.3">
      <c r="D151" s="11"/>
      <c r="E151" s="12"/>
    </row>
    <row r="152" spans="4:5" ht="14.25" customHeight="1" x14ac:dyDescent="0.3">
      <c r="D152" s="11"/>
      <c r="E152" s="12"/>
    </row>
    <row r="153" spans="4:5" ht="14.25" customHeight="1" x14ac:dyDescent="0.3">
      <c r="D153" s="11"/>
      <c r="E153" s="12"/>
    </row>
    <row r="154" spans="4:5" ht="14.25" customHeight="1" x14ac:dyDescent="0.3">
      <c r="D154" s="11"/>
      <c r="E154" s="12"/>
    </row>
    <row r="155" spans="4:5" ht="14.25" customHeight="1" x14ac:dyDescent="0.3">
      <c r="D155" s="11"/>
      <c r="E155" s="12"/>
    </row>
    <row r="156" spans="4:5" ht="14.25" customHeight="1" x14ac:dyDescent="0.3">
      <c r="D156" s="11"/>
      <c r="E156" s="12"/>
    </row>
    <row r="157" spans="4:5" ht="14.25" customHeight="1" x14ac:dyDescent="0.3">
      <c r="D157" s="11"/>
      <c r="E157" s="12"/>
    </row>
    <row r="158" spans="4:5" ht="14.25" customHeight="1" x14ac:dyDescent="0.3">
      <c r="D158" s="11"/>
      <c r="E158" s="12"/>
    </row>
    <row r="159" spans="4:5" ht="14.25" customHeight="1" x14ac:dyDescent="0.3">
      <c r="D159" s="11"/>
      <c r="E159" s="12"/>
    </row>
    <row r="160" spans="4:5" ht="14.25" customHeight="1" x14ac:dyDescent="0.3">
      <c r="D160" s="11"/>
      <c r="E160" s="12"/>
    </row>
    <row r="161" spans="4:5" ht="14.25" customHeight="1" x14ac:dyDescent="0.3">
      <c r="D161" s="11"/>
      <c r="E161" s="12"/>
    </row>
    <row r="162" spans="4:5" ht="14.25" customHeight="1" x14ac:dyDescent="0.3">
      <c r="D162" s="11"/>
      <c r="E162" s="12"/>
    </row>
    <row r="163" spans="4:5" ht="14.25" customHeight="1" x14ac:dyDescent="0.3">
      <c r="D163" s="11"/>
      <c r="E163" s="12"/>
    </row>
    <row r="164" spans="4:5" ht="14.25" customHeight="1" x14ac:dyDescent="0.3">
      <c r="D164" s="11"/>
      <c r="E164" s="12"/>
    </row>
    <row r="165" spans="4:5" ht="14.25" customHeight="1" x14ac:dyDescent="0.3">
      <c r="D165" s="11"/>
      <c r="E165" s="12"/>
    </row>
    <row r="166" spans="4:5" ht="14.25" customHeight="1" x14ac:dyDescent="0.3">
      <c r="D166" s="11"/>
      <c r="E166" s="12"/>
    </row>
    <row r="167" spans="4:5" ht="14.25" customHeight="1" x14ac:dyDescent="0.3">
      <c r="D167" s="11"/>
      <c r="E167" s="12"/>
    </row>
    <row r="168" spans="4:5" ht="14.25" customHeight="1" x14ac:dyDescent="0.3">
      <c r="D168" s="11"/>
      <c r="E168" s="12"/>
    </row>
    <row r="169" spans="4:5" ht="14.25" customHeight="1" x14ac:dyDescent="0.3">
      <c r="D169" s="11"/>
      <c r="E169" s="12"/>
    </row>
    <row r="170" spans="4:5" ht="14.25" customHeight="1" x14ac:dyDescent="0.3">
      <c r="D170" s="11"/>
      <c r="E170" s="12"/>
    </row>
    <row r="171" spans="4:5" ht="14.25" customHeight="1" x14ac:dyDescent="0.3">
      <c r="D171" s="11"/>
      <c r="E171" s="12"/>
    </row>
    <row r="172" spans="4:5" ht="14.25" customHeight="1" x14ac:dyDescent="0.3">
      <c r="D172" s="11"/>
      <c r="E172" s="12"/>
    </row>
    <row r="173" spans="4:5" ht="14.25" customHeight="1" x14ac:dyDescent="0.3">
      <c r="D173" s="11"/>
      <c r="E173" s="12"/>
    </row>
    <row r="174" spans="4:5" ht="14.25" customHeight="1" x14ac:dyDescent="0.3">
      <c r="D174" s="11"/>
      <c r="E174" s="12"/>
    </row>
    <row r="175" spans="4:5" ht="14.25" customHeight="1" x14ac:dyDescent="0.3">
      <c r="D175" s="11"/>
      <c r="E175" s="12"/>
    </row>
    <row r="176" spans="4:5" ht="14.25" customHeight="1" x14ac:dyDescent="0.3">
      <c r="D176" s="11"/>
      <c r="E176" s="12"/>
    </row>
    <row r="177" spans="4:5" ht="14.25" customHeight="1" x14ac:dyDescent="0.3">
      <c r="D177" s="11"/>
      <c r="E177" s="12"/>
    </row>
    <row r="178" spans="4:5" ht="14.25" customHeight="1" x14ac:dyDescent="0.3">
      <c r="D178" s="11"/>
      <c r="E178" s="12"/>
    </row>
    <row r="179" spans="4:5" ht="14.25" customHeight="1" x14ac:dyDescent="0.3">
      <c r="D179" s="11"/>
      <c r="E179" s="12"/>
    </row>
    <row r="180" spans="4:5" ht="14.25" customHeight="1" x14ac:dyDescent="0.3">
      <c r="D180" s="11"/>
      <c r="E180" s="12"/>
    </row>
    <row r="181" spans="4:5" ht="14.25" customHeight="1" x14ac:dyDescent="0.3">
      <c r="D181" s="11"/>
      <c r="E181" s="12"/>
    </row>
    <row r="182" spans="4:5" ht="14.25" customHeight="1" x14ac:dyDescent="0.3">
      <c r="D182" s="11"/>
      <c r="E182" s="12"/>
    </row>
    <row r="183" spans="4:5" ht="14.25" customHeight="1" x14ac:dyDescent="0.3">
      <c r="D183" s="11"/>
      <c r="E183" s="12"/>
    </row>
    <row r="184" spans="4:5" ht="14.25" customHeight="1" x14ac:dyDescent="0.3">
      <c r="D184" s="11"/>
      <c r="E184" s="12"/>
    </row>
    <row r="185" spans="4:5" ht="14.25" customHeight="1" x14ac:dyDescent="0.3">
      <c r="D185" s="11"/>
      <c r="E185" s="12"/>
    </row>
    <row r="186" spans="4:5" ht="14.25" customHeight="1" x14ac:dyDescent="0.3">
      <c r="D186" s="11"/>
      <c r="E186" s="12"/>
    </row>
    <row r="187" spans="4:5" ht="14.25" customHeight="1" x14ac:dyDescent="0.3">
      <c r="D187" s="11"/>
      <c r="E187" s="12"/>
    </row>
    <row r="188" spans="4:5" ht="14.25" customHeight="1" x14ac:dyDescent="0.3">
      <c r="D188" s="11"/>
      <c r="E188" s="12"/>
    </row>
    <row r="189" spans="4:5" ht="14.25" customHeight="1" x14ac:dyDescent="0.3">
      <c r="D189" s="11"/>
      <c r="E189" s="12"/>
    </row>
    <row r="190" spans="4:5" ht="14.25" customHeight="1" x14ac:dyDescent="0.3">
      <c r="D190" s="11"/>
      <c r="E190" s="12"/>
    </row>
    <row r="191" spans="4:5" ht="14.25" customHeight="1" x14ac:dyDescent="0.3">
      <c r="D191" s="11"/>
      <c r="E191" s="12"/>
    </row>
    <row r="192" spans="4:5" ht="14.25" customHeight="1" x14ac:dyDescent="0.3">
      <c r="D192" s="11"/>
      <c r="E192" s="12"/>
    </row>
    <row r="193" spans="4:5" ht="14.25" customHeight="1" x14ac:dyDescent="0.3">
      <c r="D193" s="11"/>
      <c r="E193" s="12"/>
    </row>
    <row r="194" spans="4:5" ht="14.25" customHeight="1" x14ac:dyDescent="0.3">
      <c r="D194" s="11"/>
      <c r="E194" s="12"/>
    </row>
    <row r="195" spans="4:5" ht="14.25" customHeight="1" x14ac:dyDescent="0.3">
      <c r="D195" s="11"/>
      <c r="E195" s="12"/>
    </row>
    <row r="196" spans="4:5" ht="14.25" customHeight="1" x14ac:dyDescent="0.3">
      <c r="D196" s="11"/>
      <c r="E196" s="12"/>
    </row>
    <row r="197" spans="4:5" ht="14.25" customHeight="1" x14ac:dyDescent="0.3">
      <c r="D197" s="11"/>
      <c r="E197" s="12"/>
    </row>
    <row r="198" spans="4:5" ht="14.25" customHeight="1" x14ac:dyDescent="0.3">
      <c r="D198" s="11"/>
      <c r="E198" s="12"/>
    </row>
    <row r="199" spans="4:5" ht="14.25" customHeight="1" x14ac:dyDescent="0.3">
      <c r="D199" s="11"/>
      <c r="E199" s="12"/>
    </row>
    <row r="200" spans="4:5" ht="14.25" customHeight="1" x14ac:dyDescent="0.3">
      <c r="D200" s="11"/>
      <c r="E200" s="12"/>
    </row>
    <row r="201" spans="4:5" ht="14.25" customHeight="1" x14ac:dyDescent="0.3">
      <c r="D201" s="11"/>
      <c r="E201" s="12"/>
    </row>
    <row r="202" spans="4:5" ht="14.25" customHeight="1" x14ac:dyDescent="0.3">
      <c r="D202" s="11"/>
      <c r="E202" s="12"/>
    </row>
    <row r="203" spans="4:5" ht="14.25" customHeight="1" x14ac:dyDescent="0.3">
      <c r="D203" s="11"/>
      <c r="E203" s="12"/>
    </row>
    <row r="204" spans="4:5" ht="14.25" customHeight="1" x14ac:dyDescent="0.3">
      <c r="D204" s="11"/>
      <c r="E204" s="12"/>
    </row>
    <row r="205" spans="4:5" ht="14.25" customHeight="1" x14ac:dyDescent="0.3">
      <c r="D205" s="11"/>
      <c r="E205" s="12"/>
    </row>
    <row r="206" spans="4:5" ht="14.25" customHeight="1" x14ac:dyDescent="0.3">
      <c r="D206" s="11"/>
      <c r="E206" s="12"/>
    </row>
    <row r="207" spans="4:5" ht="14.25" customHeight="1" x14ac:dyDescent="0.3">
      <c r="D207" s="11"/>
      <c r="E207" s="12"/>
    </row>
    <row r="208" spans="4:5" ht="14.25" customHeight="1" x14ac:dyDescent="0.3">
      <c r="D208" s="11"/>
      <c r="E208" s="12"/>
    </row>
    <row r="209" spans="4:5" ht="14.25" customHeight="1" x14ac:dyDescent="0.3">
      <c r="D209" s="11"/>
      <c r="E209" s="12"/>
    </row>
    <row r="210" spans="4:5" ht="14.25" customHeight="1" x14ac:dyDescent="0.3">
      <c r="D210" s="11"/>
      <c r="E210" s="12"/>
    </row>
    <row r="211" spans="4:5" ht="14.25" customHeight="1" x14ac:dyDescent="0.3">
      <c r="D211" s="11"/>
      <c r="E211" s="12"/>
    </row>
    <row r="212" spans="4:5" ht="14.25" customHeight="1" x14ac:dyDescent="0.3">
      <c r="D212" s="11"/>
      <c r="E212" s="12"/>
    </row>
    <row r="213" spans="4:5" ht="14.25" customHeight="1" x14ac:dyDescent="0.3">
      <c r="D213" s="11"/>
      <c r="E213" s="12"/>
    </row>
    <row r="214" spans="4:5" ht="14.25" customHeight="1" x14ac:dyDescent="0.3">
      <c r="D214" s="11"/>
      <c r="E214" s="12"/>
    </row>
    <row r="215" spans="4:5" ht="14.25" customHeight="1" x14ac:dyDescent="0.3">
      <c r="D215" s="11"/>
      <c r="E215" s="12"/>
    </row>
    <row r="216" spans="4:5" ht="14.25" customHeight="1" x14ac:dyDescent="0.3">
      <c r="D216" s="11"/>
      <c r="E216" s="12"/>
    </row>
    <row r="217" spans="4:5" ht="14.25" customHeight="1" x14ac:dyDescent="0.3">
      <c r="D217" s="11"/>
      <c r="E217" s="12"/>
    </row>
    <row r="218" spans="4:5" ht="14.25" customHeight="1" x14ac:dyDescent="0.3">
      <c r="D218" s="11"/>
      <c r="E218" s="12"/>
    </row>
    <row r="219" spans="4:5" ht="14.25" customHeight="1" x14ac:dyDescent="0.3">
      <c r="D219" s="11"/>
      <c r="E219" s="12"/>
    </row>
    <row r="220" spans="4:5" ht="14.25" customHeight="1" x14ac:dyDescent="0.3">
      <c r="D220" s="11"/>
      <c r="E220" s="12"/>
    </row>
    <row r="221" spans="4:5" ht="14.25" customHeight="1" x14ac:dyDescent="0.3">
      <c r="D221" s="11"/>
      <c r="E221" s="12"/>
    </row>
    <row r="222" spans="4:5" ht="14.25" customHeight="1" x14ac:dyDescent="0.3">
      <c r="D222" s="11"/>
      <c r="E222" s="12"/>
    </row>
    <row r="223" spans="4:5" ht="14.25" customHeight="1" x14ac:dyDescent="0.3">
      <c r="D223" s="11"/>
      <c r="E223" s="12"/>
    </row>
    <row r="224" spans="4:5" ht="14.25" customHeight="1" x14ac:dyDescent="0.3">
      <c r="D224" s="11"/>
      <c r="E224" s="12"/>
    </row>
    <row r="225" spans="4:5" ht="14.25" customHeight="1" x14ac:dyDescent="0.3">
      <c r="D225" s="11"/>
      <c r="E225" s="12"/>
    </row>
    <row r="226" spans="4:5" ht="14.25" customHeight="1" x14ac:dyDescent="0.3">
      <c r="D226" s="11"/>
      <c r="E226" s="12"/>
    </row>
    <row r="227" spans="4:5" ht="14.25" customHeight="1" x14ac:dyDescent="0.3">
      <c r="D227" s="11"/>
      <c r="E227" s="12"/>
    </row>
    <row r="228" spans="4:5" ht="14.25" customHeight="1" x14ac:dyDescent="0.3">
      <c r="D228" s="11"/>
      <c r="E228" s="12"/>
    </row>
    <row r="229" spans="4:5" ht="14.25" customHeight="1" x14ac:dyDescent="0.3">
      <c r="D229" s="11"/>
      <c r="E229" s="12"/>
    </row>
    <row r="230" spans="4:5" ht="14.25" customHeight="1" x14ac:dyDescent="0.3">
      <c r="D230" s="11"/>
      <c r="E230" s="12"/>
    </row>
    <row r="231" spans="4:5" ht="14.25" customHeight="1" x14ac:dyDescent="0.3">
      <c r="D231" s="11"/>
      <c r="E231" s="12"/>
    </row>
    <row r="232" spans="4:5" ht="14.25" customHeight="1" x14ac:dyDescent="0.3">
      <c r="D232" s="11"/>
      <c r="E232" s="12"/>
    </row>
    <row r="233" spans="4:5" ht="14.25" customHeight="1" x14ac:dyDescent="0.3">
      <c r="D233" s="11"/>
      <c r="E233" s="12"/>
    </row>
    <row r="234" spans="4:5" ht="14.25" customHeight="1" x14ac:dyDescent="0.3">
      <c r="D234" s="11"/>
      <c r="E234" s="12"/>
    </row>
    <row r="235" spans="4:5" ht="14.25" customHeight="1" x14ac:dyDescent="0.3">
      <c r="D235" s="11"/>
      <c r="E235" s="12"/>
    </row>
    <row r="236" spans="4:5" ht="14.25" customHeight="1" x14ac:dyDescent="0.3">
      <c r="D236" s="11"/>
      <c r="E236" s="12"/>
    </row>
    <row r="237" spans="4:5" ht="14.25" customHeight="1" x14ac:dyDescent="0.3">
      <c r="D237" s="11"/>
      <c r="E237" s="12"/>
    </row>
    <row r="238" spans="4:5" ht="14.25" customHeight="1" x14ac:dyDescent="0.3">
      <c r="D238" s="11"/>
      <c r="E238" s="12"/>
    </row>
    <row r="239" spans="4:5" ht="14.25" customHeight="1" x14ac:dyDescent="0.3">
      <c r="D239" s="11"/>
      <c r="E239" s="12"/>
    </row>
    <row r="240" spans="4:5" ht="14.25" customHeight="1" x14ac:dyDescent="0.3">
      <c r="D240" s="11"/>
      <c r="E240" s="12"/>
    </row>
    <row r="241" spans="4:5" ht="14.25" customHeight="1" x14ac:dyDescent="0.3">
      <c r="D241" s="11"/>
      <c r="E241" s="12"/>
    </row>
    <row r="242" spans="4:5" ht="14.25" customHeight="1" x14ac:dyDescent="0.3">
      <c r="D242" s="11"/>
      <c r="E242" s="12"/>
    </row>
    <row r="243" spans="4:5" ht="14.25" customHeight="1" x14ac:dyDescent="0.3">
      <c r="D243" s="11"/>
      <c r="E243" s="12"/>
    </row>
    <row r="244" spans="4:5" ht="14.25" customHeight="1" x14ac:dyDescent="0.3">
      <c r="D244" s="11"/>
      <c r="E244" s="12"/>
    </row>
    <row r="245" spans="4:5" ht="14.25" customHeight="1" x14ac:dyDescent="0.3">
      <c r="D245" s="11"/>
      <c r="E245" s="12"/>
    </row>
    <row r="246" spans="4:5" ht="14.25" customHeight="1" x14ac:dyDescent="0.3">
      <c r="D246" s="11"/>
      <c r="E246" s="12"/>
    </row>
    <row r="247" spans="4:5" ht="14.25" customHeight="1" x14ac:dyDescent="0.3">
      <c r="D247" s="11"/>
      <c r="E247" s="12"/>
    </row>
    <row r="248" spans="4:5" ht="14.25" customHeight="1" x14ac:dyDescent="0.3">
      <c r="D248" s="11"/>
      <c r="E248" s="12"/>
    </row>
    <row r="249" spans="4:5" ht="14.25" customHeight="1" x14ac:dyDescent="0.3">
      <c r="D249" s="11"/>
      <c r="E249" s="12"/>
    </row>
    <row r="250" spans="4:5" ht="14.25" customHeight="1" x14ac:dyDescent="0.3">
      <c r="D250" s="11"/>
      <c r="E250" s="12"/>
    </row>
    <row r="251" spans="4:5" ht="14.25" customHeight="1" x14ac:dyDescent="0.3">
      <c r="D251" s="11"/>
      <c r="E251" s="12"/>
    </row>
    <row r="252" spans="4:5" ht="14.25" customHeight="1" x14ac:dyDescent="0.3">
      <c r="D252" s="11"/>
      <c r="E252" s="12"/>
    </row>
    <row r="253" spans="4:5" ht="14.25" customHeight="1" x14ac:dyDescent="0.3">
      <c r="D253" s="11"/>
      <c r="E253" s="12"/>
    </row>
    <row r="254" spans="4:5" ht="14.25" customHeight="1" x14ac:dyDescent="0.3">
      <c r="D254" s="11"/>
      <c r="E254" s="12"/>
    </row>
    <row r="255" spans="4:5" ht="14.25" customHeight="1" x14ac:dyDescent="0.3">
      <c r="D255" s="11"/>
      <c r="E255" s="12"/>
    </row>
    <row r="256" spans="4:5" ht="14.25" customHeight="1" x14ac:dyDescent="0.3">
      <c r="D256" s="11"/>
      <c r="E256" s="12"/>
    </row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mergeCells count="56">
    <mergeCell ref="J13:K13"/>
    <mergeCell ref="A1:B1"/>
    <mergeCell ref="A2:B2"/>
    <mergeCell ref="A3:B3"/>
    <mergeCell ref="A4:B4"/>
    <mergeCell ref="A5:B5"/>
    <mergeCell ref="A7:D7"/>
    <mergeCell ref="H7:K7"/>
    <mergeCell ref="B8:C8"/>
    <mergeCell ref="H8:K8"/>
    <mergeCell ref="H9:K9"/>
    <mergeCell ref="H10:K10"/>
    <mergeCell ref="B28:C28"/>
    <mergeCell ref="A14:C14"/>
    <mergeCell ref="B16:C16"/>
    <mergeCell ref="B17:C17"/>
    <mergeCell ref="B18:C18"/>
    <mergeCell ref="B19:C19"/>
    <mergeCell ref="B20:C20"/>
    <mergeCell ref="B21:C21"/>
    <mergeCell ref="B22:C22"/>
    <mergeCell ref="B23:C23"/>
    <mergeCell ref="B25:C25"/>
    <mergeCell ref="B26:C26"/>
    <mergeCell ref="B37:C37"/>
    <mergeCell ref="B29:C29"/>
    <mergeCell ref="B30:C30"/>
    <mergeCell ref="B31:C31"/>
    <mergeCell ref="B32:C32"/>
    <mergeCell ref="B33:C33"/>
    <mergeCell ref="B34:C34"/>
    <mergeCell ref="B35:C35"/>
    <mergeCell ref="B36:C36"/>
    <mergeCell ref="B58:C58"/>
    <mergeCell ref="B59:C59"/>
    <mergeCell ref="B27:C27"/>
    <mergeCell ref="B51:C51"/>
    <mergeCell ref="B52:C52"/>
    <mergeCell ref="B53:C53"/>
    <mergeCell ref="B54:C54"/>
    <mergeCell ref="B55:C55"/>
    <mergeCell ref="B45:C45"/>
    <mergeCell ref="B46:C46"/>
    <mergeCell ref="B47:C47"/>
    <mergeCell ref="B48:C48"/>
    <mergeCell ref="B49:C49"/>
    <mergeCell ref="B50:C50"/>
    <mergeCell ref="B56:C56"/>
    <mergeCell ref="B57:C57"/>
    <mergeCell ref="B41:C41"/>
    <mergeCell ref="B42:C42"/>
    <mergeCell ref="B43:C43"/>
    <mergeCell ref="B44:C44"/>
    <mergeCell ref="B38:C38"/>
    <mergeCell ref="B39:C39"/>
    <mergeCell ref="B40:C40"/>
  </mergeCells>
  <printOptions horizontalCentered="1"/>
  <pageMargins left="0.25" right="0.25" top="0.75" bottom="0.75" header="0.3" footer="0.3"/>
  <pageSetup paperSize="8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0E20-EED4-46E8-840E-871164CC78BD}">
  <sheetPr>
    <pageSetUpPr fitToPage="1"/>
  </sheetPr>
  <dimension ref="A1:AJ1004"/>
  <sheetViews>
    <sheetView view="pageBreakPreview" zoomScale="25" zoomScaleNormal="85" zoomScaleSheetLayoutView="25" workbookViewId="0">
      <selection sqref="A1:AJ70"/>
    </sheetView>
  </sheetViews>
  <sheetFormatPr defaultColWidth="12.625" defaultRowHeight="15" customHeight="1" x14ac:dyDescent="0.2"/>
  <cols>
    <col min="1" max="1" width="20.25" customWidth="1"/>
    <col min="2" max="2" width="37.5" customWidth="1"/>
    <col min="3" max="3" width="17.5" customWidth="1"/>
    <col min="4" max="4" width="14.5" customWidth="1"/>
    <col min="5" max="5" width="10.875" customWidth="1"/>
    <col min="6" max="6" width="7.375" customWidth="1"/>
    <col min="7" max="7" width="5.5" customWidth="1"/>
    <col min="8" max="8" width="6.25" customWidth="1"/>
    <col min="9" max="36" width="6.625" customWidth="1"/>
  </cols>
  <sheetData>
    <row r="1" spans="1:36" ht="54" customHeight="1" x14ac:dyDescent="0.2">
      <c r="A1" s="92" t="s">
        <v>0</v>
      </c>
      <c r="B1" s="93"/>
      <c r="C1" s="1" t="s">
        <v>35</v>
      </c>
      <c r="D1" s="2"/>
    </row>
    <row r="2" spans="1:36" ht="14.25" customHeight="1" x14ac:dyDescent="0.25">
      <c r="A2" s="92" t="s">
        <v>1</v>
      </c>
      <c r="B2" s="93"/>
      <c r="C2" s="4" t="s">
        <v>36</v>
      </c>
      <c r="D2" s="2"/>
      <c r="E2" s="5"/>
      <c r="F2" s="5"/>
    </row>
    <row r="3" spans="1:36" ht="14.25" customHeight="1" x14ac:dyDescent="0.25">
      <c r="A3" s="92" t="s">
        <v>2</v>
      </c>
      <c r="B3" s="93"/>
      <c r="C3" s="4" t="s">
        <v>37</v>
      </c>
      <c r="D3" s="6"/>
      <c r="E3" s="5"/>
      <c r="F3" s="5"/>
    </row>
    <row r="4" spans="1:36" ht="14.25" customHeight="1" x14ac:dyDescent="0.25">
      <c r="A4" s="108" t="s">
        <v>3</v>
      </c>
      <c r="B4" s="109"/>
      <c r="C4" s="59" t="s">
        <v>38</v>
      </c>
      <c r="D4" s="6"/>
      <c r="E4" s="5"/>
      <c r="F4" s="5"/>
    </row>
    <row r="5" spans="1:36" ht="14.25" customHeight="1" x14ac:dyDescent="0.25">
      <c r="A5" s="110" t="s">
        <v>4</v>
      </c>
      <c r="B5" s="111"/>
      <c r="C5" s="60">
        <v>44534</v>
      </c>
      <c r="D5" s="6"/>
      <c r="E5" s="5"/>
      <c r="F5" s="5"/>
    </row>
    <row r="6" spans="1:36" ht="14.25" customHeight="1" thickBot="1" x14ac:dyDescent="0.3">
      <c r="A6" s="51"/>
      <c r="B6" s="51"/>
      <c r="C6" s="51"/>
      <c r="D6" s="5"/>
      <c r="E6" s="5"/>
      <c r="F6" s="5"/>
    </row>
    <row r="7" spans="1:36" ht="14.25" customHeight="1" x14ac:dyDescent="0.25">
      <c r="A7" s="106"/>
      <c r="B7" s="107"/>
      <c r="C7" s="107"/>
      <c r="D7" s="107"/>
      <c r="E7" s="107"/>
      <c r="F7" s="5"/>
      <c r="G7" s="34"/>
      <c r="H7" s="95" t="s">
        <v>30</v>
      </c>
      <c r="I7" s="96"/>
      <c r="J7" s="96"/>
      <c r="K7" s="97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</row>
    <row r="8" spans="1:36" ht="14.25" customHeight="1" x14ac:dyDescent="0.25">
      <c r="A8" s="58" t="s">
        <v>5</v>
      </c>
      <c r="B8" s="112" t="s">
        <v>6</v>
      </c>
      <c r="C8" s="112"/>
      <c r="D8" s="58" t="s">
        <v>7</v>
      </c>
      <c r="E8" s="58" t="s">
        <v>8</v>
      </c>
      <c r="F8" s="5"/>
      <c r="G8" s="35"/>
      <c r="H8" s="100" t="s">
        <v>31</v>
      </c>
      <c r="I8" s="86"/>
      <c r="J8" s="86"/>
      <c r="K8" s="101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</row>
    <row r="9" spans="1:36" ht="19.5" customHeight="1" x14ac:dyDescent="0.25">
      <c r="A9" s="54">
        <v>1</v>
      </c>
      <c r="B9" s="55" t="s">
        <v>39</v>
      </c>
      <c r="C9" s="56" t="s">
        <v>40</v>
      </c>
      <c r="D9" s="30">
        <v>40</v>
      </c>
      <c r="E9" s="57">
        <f>SUMIF(D15:D69,"Ha",E15:E69)+11+4</f>
        <v>41</v>
      </c>
      <c r="F9" s="5"/>
      <c r="G9" s="36"/>
      <c r="H9" s="102" t="s">
        <v>32</v>
      </c>
      <c r="I9" s="86"/>
      <c r="J9" s="86"/>
      <c r="K9" s="101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</row>
    <row r="10" spans="1:36" ht="18.75" customHeight="1" thickBot="1" x14ac:dyDescent="0.3">
      <c r="A10" s="3">
        <v>2</v>
      </c>
      <c r="B10" s="3" t="s">
        <v>18</v>
      </c>
      <c r="C10" s="25" t="s">
        <v>9</v>
      </c>
      <c r="D10" s="30">
        <v>42</v>
      </c>
      <c r="E10" s="30">
        <f>SUMIF(D15:D69,"Hieu",E15:E69)+11+4</f>
        <v>43</v>
      </c>
      <c r="F10" s="5"/>
      <c r="G10" s="37"/>
      <c r="H10" s="103" t="s">
        <v>33</v>
      </c>
      <c r="I10" s="104"/>
      <c r="J10" s="104"/>
      <c r="K10" s="10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</row>
    <row r="11" spans="1:36" ht="16.5" customHeight="1" x14ac:dyDescent="0.25">
      <c r="A11" s="3">
        <v>3</v>
      </c>
      <c r="B11" s="10" t="s">
        <v>41</v>
      </c>
      <c r="C11" s="24" t="s">
        <v>42</v>
      </c>
      <c r="D11" s="30">
        <v>41</v>
      </c>
      <c r="E11" s="30">
        <f>SUMIF(D15:D69,"My",E15:E69)+11+10</f>
        <v>41</v>
      </c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</row>
    <row r="12" spans="1:36" ht="17.25" customHeight="1" x14ac:dyDescent="0.25">
      <c r="A12" s="3">
        <v>4</v>
      </c>
      <c r="B12" s="3" t="s">
        <v>21</v>
      </c>
      <c r="C12" s="25" t="s">
        <v>10</v>
      </c>
      <c r="D12" s="30">
        <v>44</v>
      </c>
      <c r="E12" s="30">
        <f>SUMIF(D15:D69,"Thong",E15:E69)+11+10</f>
        <v>44</v>
      </c>
      <c r="F12" s="46"/>
      <c r="G12" s="45"/>
      <c r="H12" s="45"/>
      <c r="I12" s="45"/>
      <c r="J12" s="90"/>
      <c r="K12" s="91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</row>
    <row r="13" spans="1:36" ht="14.25" customHeight="1" x14ac:dyDescent="0.25">
      <c r="A13" s="85" t="s">
        <v>11</v>
      </c>
      <c r="B13" s="86"/>
      <c r="C13" s="86"/>
      <c r="D13" s="31">
        <f>SUM(D9:D12)</f>
        <v>167</v>
      </c>
      <c r="E13" s="31">
        <f>SUM(E9:E12)</f>
        <v>169</v>
      </c>
      <c r="F13" s="46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</row>
    <row r="14" spans="1:36" ht="70.5" customHeight="1" x14ac:dyDescent="0.2">
      <c r="A14" s="13" t="s">
        <v>45</v>
      </c>
      <c r="B14" s="13" t="s">
        <v>12</v>
      </c>
      <c r="C14" s="13" t="s">
        <v>13</v>
      </c>
      <c r="D14" s="28" t="s">
        <v>14</v>
      </c>
      <c r="E14" s="29" t="s">
        <v>8</v>
      </c>
      <c r="F14" s="26">
        <v>44270</v>
      </c>
      <c r="G14" s="26">
        <v>44271</v>
      </c>
      <c r="H14" s="26">
        <v>44272</v>
      </c>
      <c r="I14" s="26">
        <v>44273</v>
      </c>
      <c r="J14" s="26">
        <v>44274</v>
      </c>
      <c r="K14" s="26">
        <v>44275</v>
      </c>
      <c r="L14" s="26">
        <v>44276</v>
      </c>
      <c r="M14" s="26">
        <v>44277</v>
      </c>
      <c r="N14" s="26">
        <v>44278</v>
      </c>
      <c r="O14" s="26">
        <v>44279</v>
      </c>
      <c r="P14" s="26">
        <v>44280</v>
      </c>
      <c r="Q14" s="26">
        <v>44281</v>
      </c>
      <c r="R14" s="26">
        <v>44282</v>
      </c>
      <c r="S14" s="26">
        <v>44283</v>
      </c>
      <c r="T14" s="26">
        <v>44284</v>
      </c>
      <c r="U14" s="26">
        <v>44285</v>
      </c>
      <c r="V14" s="26">
        <v>44286</v>
      </c>
      <c r="W14" s="26">
        <v>44287</v>
      </c>
      <c r="X14" s="26">
        <v>44288</v>
      </c>
      <c r="Y14" s="26">
        <v>44289</v>
      </c>
      <c r="Z14" s="26">
        <v>44290</v>
      </c>
      <c r="AA14" s="26">
        <v>44291</v>
      </c>
      <c r="AB14" s="26">
        <v>44292</v>
      </c>
      <c r="AC14" s="26">
        <v>44293</v>
      </c>
      <c r="AD14" s="26">
        <v>44294</v>
      </c>
      <c r="AE14" s="26">
        <v>44295</v>
      </c>
      <c r="AF14" s="26">
        <v>44296</v>
      </c>
      <c r="AG14" s="26">
        <v>44297</v>
      </c>
      <c r="AH14" s="26">
        <v>44298</v>
      </c>
      <c r="AI14" s="26">
        <v>44299</v>
      </c>
      <c r="AJ14" s="26">
        <v>44300</v>
      </c>
    </row>
    <row r="15" spans="1:36" ht="14.25" customHeight="1" x14ac:dyDescent="0.25">
      <c r="A15" s="42"/>
      <c r="B15" s="87" t="s">
        <v>15</v>
      </c>
      <c r="C15" s="88"/>
      <c r="D15" s="41" t="s">
        <v>16</v>
      </c>
      <c r="E15" s="27">
        <v>4</v>
      </c>
      <c r="F15" s="21">
        <v>0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4.25" customHeight="1" x14ac:dyDescent="0.25">
      <c r="A16" s="42"/>
      <c r="B16" s="87" t="s">
        <v>43</v>
      </c>
      <c r="C16" s="89"/>
      <c r="D16" s="41" t="s">
        <v>39</v>
      </c>
      <c r="E16" s="14">
        <v>3</v>
      </c>
      <c r="F16" s="21">
        <v>0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6" ht="14.25" customHeight="1" x14ac:dyDescent="0.25">
      <c r="A17" s="42"/>
      <c r="B17" s="87" t="s">
        <v>44</v>
      </c>
      <c r="C17" s="89"/>
      <c r="D17" s="41" t="s">
        <v>39</v>
      </c>
      <c r="E17" s="14">
        <v>2</v>
      </c>
      <c r="F17" s="14">
        <v>2</v>
      </c>
      <c r="G17" s="21">
        <v>0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</row>
    <row r="18" spans="1:36" ht="14.25" customHeight="1" x14ac:dyDescent="0.25">
      <c r="A18" s="42"/>
      <c r="B18" s="82" t="s">
        <v>17</v>
      </c>
      <c r="C18" s="77"/>
      <c r="D18" s="15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</row>
    <row r="19" spans="1:36" ht="14.25" customHeight="1" x14ac:dyDescent="0.25">
      <c r="A19" s="42"/>
      <c r="B19" s="79" t="s">
        <v>47</v>
      </c>
      <c r="C19" s="77"/>
      <c r="D19" s="17" t="s">
        <v>18</v>
      </c>
      <c r="E19" s="18">
        <v>4</v>
      </c>
      <c r="F19" s="18">
        <v>3</v>
      </c>
      <c r="G19" s="18">
        <v>1</v>
      </c>
      <c r="H19" s="67">
        <v>0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</row>
    <row r="20" spans="1:36" ht="14.25" customHeight="1" x14ac:dyDescent="0.25">
      <c r="A20" s="42"/>
      <c r="B20" s="79" t="s">
        <v>48</v>
      </c>
      <c r="C20" s="77"/>
      <c r="D20" s="47" t="s">
        <v>39</v>
      </c>
      <c r="E20" s="18">
        <v>1</v>
      </c>
      <c r="F20" s="18">
        <v>1</v>
      </c>
      <c r="G20" s="21">
        <v>0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</row>
    <row r="21" spans="1:36" ht="14.25" customHeight="1" x14ac:dyDescent="0.25">
      <c r="A21" s="42"/>
      <c r="B21" s="79" t="s">
        <v>49</v>
      </c>
      <c r="C21" s="77"/>
      <c r="D21" s="47" t="s">
        <v>39</v>
      </c>
      <c r="E21" s="18">
        <v>1</v>
      </c>
      <c r="F21" s="18">
        <v>1</v>
      </c>
      <c r="G21" s="21">
        <v>0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</row>
    <row r="22" spans="1:36" ht="14.25" customHeight="1" x14ac:dyDescent="0.25">
      <c r="A22" s="42"/>
      <c r="B22" s="79" t="s">
        <v>19</v>
      </c>
      <c r="C22" s="77"/>
      <c r="D22" s="47" t="s">
        <v>39</v>
      </c>
      <c r="E22" s="18">
        <v>1</v>
      </c>
      <c r="F22" s="18">
        <v>1</v>
      </c>
      <c r="G22" s="18">
        <v>1</v>
      </c>
      <c r="H22" s="21">
        <v>0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</row>
    <row r="23" spans="1:36" ht="14.25" customHeight="1" x14ac:dyDescent="0.25">
      <c r="A23" s="42"/>
      <c r="B23" s="79" t="s">
        <v>52</v>
      </c>
      <c r="C23" s="77"/>
      <c r="D23" s="47" t="s">
        <v>18</v>
      </c>
      <c r="E23" s="18">
        <v>2</v>
      </c>
      <c r="F23" s="18">
        <v>2</v>
      </c>
      <c r="G23" s="18">
        <v>2</v>
      </c>
      <c r="H23" s="21">
        <v>0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</row>
    <row r="24" spans="1:36" ht="14.25" customHeight="1" x14ac:dyDescent="0.25">
      <c r="A24" s="42"/>
      <c r="B24" s="79" t="s">
        <v>50</v>
      </c>
      <c r="C24" s="77"/>
      <c r="D24" s="47" t="s">
        <v>39</v>
      </c>
      <c r="E24" s="18">
        <v>3</v>
      </c>
      <c r="F24" s="18">
        <v>3</v>
      </c>
      <c r="G24" s="18">
        <v>3</v>
      </c>
      <c r="H24" s="21">
        <v>0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</row>
    <row r="25" spans="1:36" ht="14.25" customHeight="1" x14ac:dyDescent="0.25">
      <c r="A25" s="42"/>
      <c r="B25" s="79" t="s">
        <v>55</v>
      </c>
      <c r="C25" s="77"/>
      <c r="D25" s="47" t="s">
        <v>18</v>
      </c>
      <c r="E25" s="18">
        <v>2</v>
      </c>
      <c r="F25" s="18">
        <v>2</v>
      </c>
      <c r="G25" s="38">
        <v>0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</row>
    <row r="26" spans="1:36" ht="14.25" customHeight="1" x14ac:dyDescent="0.25">
      <c r="A26" s="42"/>
      <c r="B26" s="79" t="s">
        <v>51</v>
      </c>
      <c r="C26" s="77"/>
      <c r="D26" s="47" t="s">
        <v>39</v>
      </c>
      <c r="E26" s="18">
        <v>2</v>
      </c>
      <c r="F26" s="18">
        <v>2</v>
      </c>
      <c r="G26" s="18">
        <v>2</v>
      </c>
      <c r="H26" s="18">
        <v>2</v>
      </c>
      <c r="I26" s="21">
        <v>0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</row>
    <row r="27" spans="1:36" ht="14.25" customHeight="1" x14ac:dyDescent="0.25">
      <c r="A27" s="42"/>
      <c r="B27" s="79" t="s">
        <v>56</v>
      </c>
      <c r="C27" s="77"/>
      <c r="D27" s="47" t="s">
        <v>18</v>
      </c>
      <c r="E27" s="18">
        <v>2</v>
      </c>
      <c r="F27" s="18">
        <v>2</v>
      </c>
      <c r="G27" s="18">
        <v>2</v>
      </c>
      <c r="H27" s="18">
        <v>2</v>
      </c>
      <c r="I27" s="21">
        <v>0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</row>
    <row r="28" spans="1:36" ht="14.25" customHeight="1" x14ac:dyDescent="0.25">
      <c r="A28" s="42"/>
      <c r="B28" s="79" t="s">
        <v>53</v>
      </c>
      <c r="C28" s="77"/>
      <c r="D28" s="47" t="s">
        <v>39</v>
      </c>
      <c r="E28" s="18">
        <v>2</v>
      </c>
      <c r="F28" s="18">
        <v>2</v>
      </c>
      <c r="G28" s="18">
        <v>2</v>
      </c>
      <c r="H28" s="38">
        <v>0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</row>
    <row r="29" spans="1:36" ht="14.25" customHeight="1" x14ac:dyDescent="0.25">
      <c r="A29" s="42"/>
      <c r="B29" s="79" t="s">
        <v>54</v>
      </c>
      <c r="C29" s="77"/>
      <c r="D29" s="47" t="s">
        <v>18</v>
      </c>
      <c r="E29" s="18">
        <v>3</v>
      </c>
      <c r="F29" s="18">
        <v>3</v>
      </c>
      <c r="G29" s="18">
        <v>3</v>
      </c>
      <c r="H29" s="18">
        <v>3</v>
      </c>
      <c r="I29" s="18">
        <v>3</v>
      </c>
      <c r="J29" s="21">
        <v>0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</row>
    <row r="30" spans="1:36" ht="14.25" customHeight="1" x14ac:dyDescent="0.25">
      <c r="A30" s="42"/>
      <c r="B30" s="83" t="s">
        <v>28</v>
      </c>
      <c r="C30" s="84"/>
      <c r="D30" s="48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</row>
    <row r="31" spans="1:36" ht="14.25" customHeight="1" x14ac:dyDescent="0.25">
      <c r="A31" s="42"/>
      <c r="B31" s="74" t="s">
        <v>29</v>
      </c>
      <c r="C31" s="75"/>
      <c r="D31" s="47" t="s">
        <v>21</v>
      </c>
      <c r="E31" s="18">
        <v>4</v>
      </c>
      <c r="F31" s="18">
        <v>4</v>
      </c>
      <c r="G31" s="18">
        <v>4</v>
      </c>
      <c r="H31" s="18">
        <v>4</v>
      </c>
      <c r="I31" s="18">
        <v>4</v>
      </c>
      <c r="J31" s="21">
        <v>0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</row>
    <row r="32" spans="1:36" ht="14.25" customHeight="1" x14ac:dyDescent="0.25">
      <c r="A32" s="42"/>
      <c r="B32" s="82" t="s">
        <v>20</v>
      </c>
      <c r="C32" s="77"/>
      <c r="D32" s="15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</row>
    <row r="33" spans="1:36" ht="15" customHeight="1" x14ac:dyDescent="0.25">
      <c r="A33" s="42"/>
      <c r="B33" s="74" t="s">
        <v>57</v>
      </c>
      <c r="C33" s="75"/>
      <c r="D33" s="47" t="s">
        <v>87</v>
      </c>
      <c r="E33" s="19">
        <v>5</v>
      </c>
      <c r="F33" s="19">
        <v>5</v>
      </c>
      <c r="G33" s="19">
        <v>5</v>
      </c>
      <c r="H33" s="19">
        <v>5</v>
      </c>
      <c r="I33" s="19">
        <v>5</v>
      </c>
      <c r="J33" s="53">
        <v>5</v>
      </c>
      <c r="K33" s="19">
        <v>4</v>
      </c>
      <c r="L33" s="40">
        <v>0</v>
      </c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</row>
    <row r="34" spans="1:36" ht="15" customHeight="1" x14ac:dyDescent="0.25">
      <c r="A34" s="42"/>
      <c r="B34" s="74" t="s">
        <v>58</v>
      </c>
      <c r="C34" s="75"/>
      <c r="D34" s="47" t="s">
        <v>39</v>
      </c>
      <c r="E34" s="19">
        <v>1</v>
      </c>
      <c r="F34" s="19">
        <v>1</v>
      </c>
      <c r="G34" s="19">
        <v>1</v>
      </c>
      <c r="H34" s="19">
        <v>1</v>
      </c>
      <c r="I34" s="19">
        <v>1</v>
      </c>
      <c r="J34" s="53">
        <v>1</v>
      </c>
      <c r="K34" s="22">
        <v>0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</row>
    <row r="35" spans="1:36" ht="15" customHeight="1" x14ac:dyDescent="0.25">
      <c r="A35" s="42"/>
      <c r="B35" s="74" t="s">
        <v>59</v>
      </c>
      <c r="C35" s="75"/>
      <c r="D35" s="17" t="s">
        <v>39</v>
      </c>
      <c r="E35" s="19">
        <v>1</v>
      </c>
      <c r="F35" s="19">
        <v>1</v>
      </c>
      <c r="G35" s="19">
        <v>3</v>
      </c>
      <c r="H35" s="19">
        <v>3</v>
      </c>
      <c r="I35" s="19">
        <v>3</v>
      </c>
      <c r="J35" s="53">
        <v>3</v>
      </c>
      <c r="K35" s="19">
        <v>3</v>
      </c>
      <c r="L35" s="22">
        <v>0</v>
      </c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</row>
    <row r="36" spans="1:36" ht="14.25" customHeight="1" x14ac:dyDescent="0.25">
      <c r="A36" s="42"/>
      <c r="B36" s="74" t="s">
        <v>61</v>
      </c>
      <c r="C36" s="75"/>
      <c r="D36" s="17" t="s">
        <v>39</v>
      </c>
      <c r="E36" s="19">
        <v>1</v>
      </c>
      <c r="F36" s="19">
        <v>1</v>
      </c>
      <c r="G36" s="19">
        <v>1</v>
      </c>
      <c r="H36" s="19">
        <v>1</v>
      </c>
      <c r="I36" s="19">
        <v>1</v>
      </c>
      <c r="J36" s="19">
        <v>1</v>
      </c>
      <c r="K36" s="53">
        <v>1</v>
      </c>
      <c r="L36" s="22">
        <v>0</v>
      </c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</row>
    <row r="37" spans="1:36" ht="14.25" customHeight="1" x14ac:dyDescent="0.25">
      <c r="A37" s="42"/>
      <c r="B37" s="74" t="s">
        <v>60</v>
      </c>
      <c r="C37" s="75"/>
      <c r="D37" s="17" t="s">
        <v>18</v>
      </c>
      <c r="E37" s="19">
        <v>2</v>
      </c>
      <c r="F37" s="19">
        <v>2</v>
      </c>
      <c r="G37" s="19">
        <v>2</v>
      </c>
      <c r="H37" s="19">
        <v>2</v>
      </c>
      <c r="I37" s="19">
        <v>2</v>
      </c>
      <c r="J37" s="19">
        <v>2</v>
      </c>
      <c r="K37" s="53">
        <v>2</v>
      </c>
      <c r="L37" s="22">
        <v>0</v>
      </c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</row>
    <row r="38" spans="1:36" ht="14.25" customHeight="1" x14ac:dyDescent="0.25">
      <c r="A38" s="42"/>
      <c r="B38" s="74" t="s">
        <v>62</v>
      </c>
      <c r="C38" s="75"/>
      <c r="D38" s="17" t="s">
        <v>18</v>
      </c>
      <c r="E38" s="19">
        <v>2</v>
      </c>
      <c r="F38" s="19">
        <v>2</v>
      </c>
      <c r="G38" s="19">
        <v>2</v>
      </c>
      <c r="H38" s="19">
        <v>2</v>
      </c>
      <c r="I38" s="19">
        <v>2</v>
      </c>
      <c r="J38" s="19">
        <v>2</v>
      </c>
      <c r="K38" s="53">
        <v>2</v>
      </c>
      <c r="L38" s="22">
        <v>0</v>
      </c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</row>
    <row r="39" spans="1:36" ht="14.25" customHeight="1" x14ac:dyDescent="0.25">
      <c r="A39" s="42"/>
      <c r="B39" s="74" t="s">
        <v>65</v>
      </c>
      <c r="C39" s="75"/>
      <c r="D39" s="17" t="s">
        <v>39</v>
      </c>
      <c r="E39" s="19">
        <v>2</v>
      </c>
      <c r="F39" s="19">
        <v>2</v>
      </c>
      <c r="G39" s="19">
        <v>2</v>
      </c>
      <c r="H39" s="19">
        <v>2</v>
      </c>
      <c r="I39" s="19">
        <v>2</v>
      </c>
      <c r="J39" s="19">
        <v>2</v>
      </c>
      <c r="K39" s="53">
        <v>2</v>
      </c>
      <c r="L39" s="19">
        <v>2</v>
      </c>
      <c r="M39" s="22">
        <v>0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</row>
    <row r="40" spans="1:36" ht="14.25" customHeight="1" x14ac:dyDescent="0.25">
      <c r="A40" s="42"/>
      <c r="B40" s="74" t="s">
        <v>63</v>
      </c>
      <c r="C40" s="75"/>
      <c r="D40" s="17" t="s">
        <v>18</v>
      </c>
      <c r="E40" s="19">
        <v>2</v>
      </c>
      <c r="F40" s="19">
        <v>2</v>
      </c>
      <c r="G40" s="19">
        <v>2</v>
      </c>
      <c r="H40" s="19">
        <v>2</v>
      </c>
      <c r="I40" s="19">
        <v>2</v>
      </c>
      <c r="J40" s="19">
        <v>2</v>
      </c>
      <c r="K40" s="19">
        <v>2</v>
      </c>
      <c r="L40" s="53">
        <v>2</v>
      </c>
      <c r="M40" s="22">
        <v>0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</row>
    <row r="41" spans="1:36" ht="14.25" customHeight="1" x14ac:dyDescent="0.25">
      <c r="A41" s="42"/>
      <c r="B41" s="74" t="s">
        <v>66</v>
      </c>
      <c r="C41" s="75"/>
      <c r="D41" s="20" t="s">
        <v>87</v>
      </c>
      <c r="E41" s="19">
        <v>3</v>
      </c>
      <c r="F41" s="19">
        <v>3</v>
      </c>
      <c r="G41" s="19">
        <v>3</v>
      </c>
      <c r="H41" s="19">
        <v>3</v>
      </c>
      <c r="I41" s="19">
        <v>3</v>
      </c>
      <c r="J41" s="19">
        <v>3</v>
      </c>
      <c r="K41" s="19">
        <v>3</v>
      </c>
      <c r="L41" s="19">
        <v>2</v>
      </c>
      <c r="M41" s="39">
        <v>0</v>
      </c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</row>
    <row r="42" spans="1:36" ht="14.25" customHeight="1" x14ac:dyDescent="0.25">
      <c r="A42" s="42"/>
      <c r="B42" s="74" t="s">
        <v>64</v>
      </c>
      <c r="C42" s="75"/>
      <c r="D42" s="20" t="s">
        <v>39</v>
      </c>
      <c r="E42" s="19">
        <v>2</v>
      </c>
      <c r="F42" s="19">
        <v>1</v>
      </c>
      <c r="G42" s="19">
        <v>1</v>
      </c>
      <c r="H42" s="19">
        <v>1</v>
      </c>
      <c r="I42" s="19">
        <v>1</v>
      </c>
      <c r="J42" s="19">
        <v>1</v>
      </c>
      <c r="K42" s="19">
        <v>1</v>
      </c>
      <c r="L42" s="19">
        <v>1</v>
      </c>
      <c r="M42" s="22">
        <v>0</v>
      </c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</row>
    <row r="43" spans="1:36" ht="14.25" customHeight="1" x14ac:dyDescent="0.25">
      <c r="A43" s="42"/>
      <c r="B43" s="74" t="s">
        <v>67</v>
      </c>
      <c r="C43" s="75"/>
      <c r="D43" s="20" t="s">
        <v>18</v>
      </c>
      <c r="E43" s="19">
        <v>4</v>
      </c>
      <c r="F43" s="19">
        <v>2</v>
      </c>
      <c r="G43" s="19">
        <v>2</v>
      </c>
      <c r="H43" s="19">
        <v>2</v>
      </c>
      <c r="I43" s="19">
        <v>2</v>
      </c>
      <c r="J43" s="19">
        <v>2</v>
      </c>
      <c r="K43" s="19">
        <v>2</v>
      </c>
      <c r="L43" s="19">
        <v>2</v>
      </c>
      <c r="M43" s="19">
        <v>2</v>
      </c>
      <c r="N43" s="22">
        <v>0</v>
      </c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</row>
    <row r="44" spans="1:36" ht="14.25" customHeight="1" x14ac:dyDescent="0.25">
      <c r="A44" s="42"/>
      <c r="B44" s="74" t="s">
        <v>69</v>
      </c>
      <c r="C44" s="75"/>
      <c r="D44" s="20" t="s">
        <v>41</v>
      </c>
      <c r="E44" s="19">
        <v>2</v>
      </c>
      <c r="F44" s="19">
        <v>2</v>
      </c>
      <c r="G44" s="19">
        <v>2</v>
      </c>
      <c r="H44" s="19">
        <v>2</v>
      </c>
      <c r="I44" s="19">
        <v>2</v>
      </c>
      <c r="J44" s="19">
        <v>2</v>
      </c>
      <c r="K44" s="19">
        <v>2</v>
      </c>
      <c r="L44" s="19">
        <v>2</v>
      </c>
      <c r="M44" s="19">
        <v>2</v>
      </c>
      <c r="N44" s="22">
        <v>0</v>
      </c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</row>
    <row r="45" spans="1:36" ht="14.25" customHeight="1" x14ac:dyDescent="0.25">
      <c r="A45" s="42"/>
      <c r="B45" s="74" t="s">
        <v>68</v>
      </c>
      <c r="C45" s="75"/>
      <c r="D45" s="20" t="s">
        <v>41</v>
      </c>
      <c r="E45" s="19">
        <v>2</v>
      </c>
      <c r="F45" s="19">
        <v>2</v>
      </c>
      <c r="G45" s="19">
        <v>2</v>
      </c>
      <c r="H45" s="19">
        <v>2</v>
      </c>
      <c r="I45" s="19">
        <v>2</v>
      </c>
      <c r="J45" s="19">
        <v>2</v>
      </c>
      <c r="K45" s="19">
        <v>2</v>
      </c>
      <c r="L45" s="19">
        <v>2</v>
      </c>
      <c r="M45" s="19">
        <v>2</v>
      </c>
      <c r="N45" s="19">
        <v>2</v>
      </c>
      <c r="O45" s="40">
        <v>0</v>
      </c>
      <c r="P45" s="53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</row>
    <row r="46" spans="1:36" ht="14.25" customHeight="1" x14ac:dyDescent="0.25">
      <c r="A46" s="42"/>
      <c r="B46" s="74" t="s">
        <v>70</v>
      </c>
      <c r="C46" s="75"/>
      <c r="D46" s="20" t="s">
        <v>41</v>
      </c>
      <c r="E46" s="19">
        <v>2</v>
      </c>
      <c r="F46" s="19">
        <v>2</v>
      </c>
      <c r="G46" s="19">
        <v>2</v>
      </c>
      <c r="H46" s="19">
        <v>2</v>
      </c>
      <c r="I46" s="19">
        <v>2</v>
      </c>
      <c r="J46" s="19">
        <v>2</v>
      </c>
      <c r="K46" s="19">
        <v>2</v>
      </c>
      <c r="L46" s="19">
        <v>2</v>
      </c>
      <c r="M46" s="19">
        <v>2</v>
      </c>
      <c r="N46" s="19">
        <v>2</v>
      </c>
      <c r="O46" s="22">
        <v>0</v>
      </c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</row>
    <row r="47" spans="1:36" ht="14.25" customHeight="1" x14ac:dyDescent="0.25">
      <c r="A47" s="42"/>
      <c r="B47" s="74" t="s">
        <v>72</v>
      </c>
      <c r="C47" s="75"/>
      <c r="D47" s="20" t="s">
        <v>21</v>
      </c>
      <c r="E47" s="19">
        <v>4</v>
      </c>
      <c r="F47" s="19">
        <v>4</v>
      </c>
      <c r="G47" s="19">
        <v>4</v>
      </c>
      <c r="H47" s="19">
        <v>4</v>
      </c>
      <c r="I47" s="19">
        <v>4</v>
      </c>
      <c r="J47" s="19">
        <v>4</v>
      </c>
      <c r="K47" s="19">
        <v>4</v>
      </c>
      <c r="L47" s="19">
        <v>4</v>
      </c>
      <c r="M47" s="19">
        <v>4</v>
      </c>
      <c r="N47" s="19">
        <v>4</v>
      </c>
      <c r="O47" s="22">
        <v>0</v>
      </c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</row>
    <row r="48" spans="1:36" ht="14.25" customHeight="1" x14ac:dyDescent="0.25">
      <c r="A48" s="42"/>
      <c r="B48" s="74" t="s">
        <v>71</v>
      </c>
      <c r="C48" s="75"/>
      <c r="D48" s="20" t="s">
        <v>88</v>
      </c>
      <c r="E48" s="19">
        <v>10</v>
      </c>
      <c r="F48" s="19">
        <v>10</v>
      </c>
      <c r="G48" s="19">
        <v>10</v>
      </c>
      <c r="H48" s="19">
        <v>10</v>
      </c>
      <c r="I48" s="19">
        <v>10</v>
      </c>
      <c r="J48" s="19">
        <v>10</v>
      </c>
      <c r="K48" s="19">
        <v>10</v>
      </c>
      <c r="L48" s="19">
        <v>10</v>
      </c>
      <c r="M48" s="19">
        <v>10</v>
      </c>
      <c r="N48" s="19">
        <v>10</v>
      </c>
      <c r="O48" s="19">
        <v>10</v>
      </c>
      <c r="P48" s="19">
        <v>6</v>
      </c>
      <c r="Q48" s="40">
        <v>0</v>
      </c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</row>
    <row r="49" spans="1:36" ht="14.25" customHeight="1" x14ac:dyDescent="0.25">
      <c r="A49" s="42"/>
      <c r="B49" s="74" t="s">
        <v>73</v>
      </c>
      <c r="C49" s="75"/>
      <c r="D49" s="20" t="s">
        <v>21</v>
      </c>
      <c r="E49" s="19">
        <v>6</v>
      </c>
      <c r="F49" s="19">
        <v>6</v>
      </c>
      <c r="G49" s="19">
        <v>6</v>
      </c>
      <c r="H49" s="19">
        <v>6</v>
      </c>
      <c r="I49" s="19">
        <v>6</v>
      </c>
      <c r="J49" s="19">
        <v>6</v>
      </c>
      <c r="K49" s="19">
        <v>6</v>
      </c>
      <c r="L49" s="19">
        <v>6</v>
      </c>
      <c r="M49" s="19">
        <v>6</v>
      </c>
      <c r="N49" s="19">
        <v>6</v>
      </c>
      <c r="O49" s="19">
        <v>6</v>
      </c>
      <c r="P49" s="19">
        <v>6</v>
      </c>
      <c r="Q49" s="19">
        <v>5</v>
      </c>
      <c r="R49" s="22">
        <v>0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</row>
    <row r="50" spans="1:36" ht="14.25" customHeight="1" x14ac:dyDescent="0.25">
      <c r="A50" s="42"/>
      <c r="B50" s="74" t="s">
        <v>74</v>
      </c>
      <c r="C50" s="75"/>
      <c r="D50" s="20" t="s">
        <v>41</v>
      </c>
      <c r="E50" s="19">
        <v>6</v>
      </c>
      <c r="F50" s="19">
        <v>6</v>
      </c>
      <c r="G50" s="19">
        <v>6</v>
      </c>
      <c r="H50" s="19">
        <v>6</v>
      </c>
      <c r="I50" s="19">
        <v>6</v>
      </c>
      <c r="J50" s="19">
        <v>6</v>
      </c>
      <c r="K50" s="19">
        <v>6</v>
      </c>
      <c r="L50" s="19">
        <v>6</v>
      </c>
      <c r="M50" s="19">
        <v>6</v>
      </c>
      <c r="N50" s="19">
        <v>6</v>
      </c>
      <c r="O50" s="19">
        <v>6</v>
      </c>
      <c r="P50" s="19">
        <v>6</v>
      </c>
      <c r="Q50" s="19">
        <v>6</v>
      </c>
      <c r="R50" s="19">
        <v>4</v>
      </c>
      <c r="S50" s="22">
        <v>0</v>
      </c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</row>
    <row r="51" spans="1:36" ht="14.25" customHeight="1" x14ac:dyDescent="0.25">
      <c r="A51" s="42"/>
      <c r="B51" s="74" t="s">
        <v>75</v>
      </c>
      <c r="C51" s="75"/>
      <c r="D51" s="20" t="s">
        <v>88</v>
      </c>
      <c r="E51" s="19">
        <v>10</v>
      </c>
      <c r="F51" s="19">
        <v>10</v>
      </c>
      <c r="G51" s="19">
        <v>10</v>
      </c>
      <c r="H51" s="19">
        <v>10</v>
      </c>
      <c r="I51" s="19">
        <v>10</v>
      </c>
      <c r="J51" s="19">
        <v>10</v>
      </c>
      <c r="K51" s="19">
        <v>10</v>
      </c>
      <c r="L51" s="19">
        <v>10</v>
      </c>
      <c r="M51" s="19">
        <v>10</v>
      </c>
      <c r="N51" s="19">
        <v>10</v>
      </c>
      <c r="O51" s="19">
        <v>10</v>
      </c>
      <c r="P51" s="19">
        <v>10</v>
      </c>
      <c r="Q51" s="19">
        <v>10</v>
      </c>
      <c r="R51" s="19">
        <v>10</v>
      </c>
      <c r="S51" s="19">
        <v>10</v>
      </c>
      <c r="T51" s="19">
        <v>8</v>
      </c>
      <c r="U51" s="19">
        <v>6</v>
      </c>
      <c r="V51" s="40">
        <v>0</v>
      </c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</row>
    <row r="52" spans="1:36" ht="14.25" customHeight="1" x14ac:dyDescent="0.25">
      <c r="A52" s="42"/>
      <c r="B52" s="74" t="s">
        <v>76</v>
      </c>
      <c r="C52" s="75"/>
      <c r="D52" s="20" t="s">
        <v>41</v>
      </c>
      <c r="E52" s="19">
        <v>6</v>
      </c>
      <c r="F52" s="19">
        <v>6</v>
      </c>
      <c r="G52" s="19">
        <v>6</v>
      </c>
      <c r="H52" s="19">
        <v>6</v>
      </c>
      <c r="I52" s="19">
        <v>6</v>
      </c>
      <c r="J52" s="19">
        <v>6</v>
      </c>
      <c r="K52" s="19">
        <v>6</v>
      </c>
      <c r="L52" s="19">
        <v>6</v>
      </c>
      <c r="M52" s="19">
        <v>6</v>
      </c>
      <c r="N52" s="19">
        <v>6</v>
      </c>
      <c r="O52" s="19">
        <v>6</v>
      </c>
      <c r="P52" s="19">
        <v>6</v>
      </c>
      <c r="Q52" s="19">
        <v>6</v>
      </c>
      <c r="R52" s="19">
        <v>6</v>
      </c>
      <c r="S52" s="19">
        <v>6</v>
      </c>
      <c r="T52" s="19">
        <v>6</v>
      </c>
      <c r="U52" s="22">
        <v>0</v>
      </c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</row>
    <row r="53" spans="1:36" ht="14.25" customHeight="1" x14ac:dyDescent="0.25">
      <c r="A53" s="42"/>
      <c r="B53" s="74" t="s">
        <v>77</v>
      </c>
      <c r="C53" s="75"/>
      <c r="D53" s="20" t="s">
        <v>21</v>
      </c>
      <c r="E53" s="19">
        <v>9</v>
      </c>
      <c r="F53" s="19">
        <v>9</v>
      </c>
      <c r="G53" s="19">
        <v>9</v>
      </c>
      <c r="H53" s="19">
        <v>9</v>
      </c>
      <c r="I53" s="19">
        <v>9</v>
      </c>
      <c r="J53" s="19">
        <v>9</v>
      </c>
      <c r="K53" s="19">
        <v>9</v>
      </c>
      <c r="L53" s="19">
        <v>9</v>
      </c>
      <c r="M53" s="19">
        <v>9</v>
      </c>
      <c r="N53" s="19">
        <v>9</v>
      </c>
      <c r="O53" s="19">
        <v>9</v>
      </c>
      <c r="P53" s="19">
        <v>9</v>
      </c>
      <c r="Q53" s="19">
        <v>9</v>
      </c>
      <c r="R53" s="19">
        <v>9</v>
      </c>
      <c r="S53" s="19">
        <v>9</v>
      </c>
      <c r="T53" s="19">
        <v>9</v>
      </c>
      <c r="U53" s="19">
        <v>9</v>
      </c>
      <c r="V53" s="19">
        <v>8</v>
      </c>
      <c r="W53" s="22">
        <v>0</v>
      </c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</row>
    <row r="54" spans="1:36" ht="14.25" customHeight="1" x14ac:dyDescent="0.25">
      <c r="A54" s="42"/>
      <c r="B54" s="82" t="s">
        <v>22</v>
      </c>
      <c r="C54" s="77"/>
      <c r="D54" s="15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</row>
    <row r="55" spans="1:36" ht="14.25" customHeight="1" x14ac:dyDescent="0.25">
      <c r="A55" s="42"/>
      <c r="B55" s="79" t="s">
        <v>78</v>
      </c>
      <c r="C55" s="77"/>
      <c r="D55" s="20" t="s">
        <v>41</v>
      </c>
      <c r="E55" s="19">
        <v>1</v>
      </c>
      <c r="F55" s="19">
        <v>1</v>
      </c>
      <c r="G55" s="19">
        <v>1</v>
      </c>
      <c r="H55" s="19">
        <v>1</v>
      </c>
      <c r="I55" s="19">
        <v>1</v>
      </c>
      <c r="J55" s="19">
        <v>1</v>
      </c>
      <c r="K55" s="19">
        <v>1</v>
      </c>
      <c r="L55" s="19">
        <v>1</v>
      </c>
      <c r="M55" s="19">
        <v>1</v>
      </c>
      <c r="N55" s="19">
        <v>1</v>
      </c>
      <c r="O55" s="19">
        <v>1</v>
      </c>
      <c r="P55" s="19">
        <v>1</v>
      </c>
      <c r="Q55" s="19">
        <v>1</v>
      </c>
      <c r="R55" s="19">
        <v>1</v>
      </c>
      <c r="S55" s="19">
        <v>1</v>
      </c>
      <c r="T55" s="19">
        <v>1</v>
      </c>
      <c r="U55" s="19">
        <v>1</v>
      </c>
      <c r="V55" s="19">
        <v>1</v>
      </c>
      <c r="W55" s="22">
        <v>0</v>
      </c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</row>
    <row r="56" spans="1:36" ht="14.25" customHeight="1" x14ac:dyDescent="0.25">
      <c r="A56" s="42"/>
      <c r="B56" s="79" t="s">
        <v>79</v>
      </c>
      <c r="C56" s="77"/>
      <c r="D56" s="20" t="s">
        <v>39</v>
      </c>
      <c r="E56" s="19">
        <v>1</v>
      </c>
      <c r="F56" s="19">
        <v>1</v>
      </c>
      <c r="G56" s="19">
        <v>1</v>
      </c>
      <c r="H56" s="19">
        <v>1</v>
      </c>
      <c r="I56" s="19">
        <v>1</v>
      </c>
      <c r="J56" s="19">
        <v>1</v>
      </c>
      <c r="K56" s="19">
        <v>1</v>
      </c>
      <c r="L56" s="19">
        <v>1</v>
      </c>
      <c r="M56" s="19">
        <v>1</v>
      </c>
      <c r="N56" s="19">
        <v>1</v>
      </c>
      <c r="O56" s="19">
        <v>1</v>
      </c>
      <c r="P56" s="19">
        <v>1</v>
      </c>
      <c r="Q56" s="19">
        <v>1</v>
      </c>
      <c r="R56" s="19">
        <v>1</v>
      </c>
      <c r="S56" s="19">
        <v>1</v>
      </c>
      <c r="T56" s="19">
        <v>1</v>
      </c>
      <c r="U56" s="19">
        <v>1</v>
      </c>
      <c r="V56" s="19">
        <v>1</v>
      </c>
      <c r="W56" s="19">
        <v>1</v>
      </c>
      <c r="X56" s="22">
        <v>0</v>
      </c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</row>
    <row r="57" spans="1:36" ht="14.25" customHeight="1" x14ac:dyDescent="0.25">
      <c r="A57" s="42"/>
      <c r="B57" s="79" t="s">
        <v>80</v>
      </c>
      <c r="C57" s="77"/>
      <c r="D57" s="20" t="s">
        <v>39</v>
      </c>
      <c r="E57" s="19">
        <v>1</v>
      </c>
      <c r="F57" s="19">
        <v>1</v>
      </c>
      <c r="G57" s="19">
        <v>1</v>
      </c>
      <c r="H57" s="19">
        <v>1</v>
      </c>
      <c r="I57" s="19">
        <v>1</v>
      </c>
      <c r="J57" s="19">
        <v>1</v>
      </c>
      <c r="K57" s="19">
        <v>1</v>
      </c>
      <c r="L57" s="19">
        <v>1</v>
      </c>
      <c r="M57" s="19">
        <v>1</v>
      </c>
      <c r="N57" s="19">
        <v>1</v>
      </c>
      <c r="O57" s="19">
        <v>1</v>
      </c>
      <c r="P57" s="19">
        <v>1</v>
      </c>
      <c r="Q57" s="19">
        <v>1</v>
      </c>
      <c r="R57" s="19">
        <v>1</v>
      </c>
      <c r="S57" s="19">
        <v>1</v>
      </c>
      <c r="T57" s="19">
        <v>1</v>
      </c>
      <c r="U57" s="19">
        <v>1</v>
      </c>
      <c r="V57" s="19">
        <v>1</v>
      </c>
      <c r="W57" s="19">
        <v>1</v>
      </c>
      <c r="X57" s="22">
        <v>0</v>
      </c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</row>
    <row r="58" spans="1:36" ht="14.25" customHeight="1" x14ac:dyDescent="0.25">
      <c r="A58" s="42"/>
      <c r="B58" s="79" t="s">
        <v>82</v>
      </c>
      <c r="C58" s="77"/>
      <c r="D58" s="20" t="s">
        <v>41</v>
      </c>
      <c r="E58" s="19">
        <v>1</v>
      </c>
      <c r="F58" s="19">
        <v>1</v>
      </c>
      <c r="G58" s="19">
        <v>1</v>
      </c>
      <c r="H58" s="19">
        <v>1</v>
      </c>
      <c r="I58" s="19">
        <v>1</v>
      </c>
      <c r="J58" s="19">
        <v>1</v>
      </c>
      <c r="K58" s="19">
        <v>1</v>
      </c>
      <c r="L58" s="19">
        <v>1</v>
      </c>
      <c r="M58" s="19">
        <v>1</v>
      </c>
      <c r="N58" s="19">
        <v>1</v>
      </c>
      <c r="O58" s="19">
        <v>1</v>
      </c>
      <c r="P58" s="19">
        <v>1</v>
      </c>
      <c r="Q58" s="19">
        <v>1</v>
      </c>
      <c r="R58" s="19">
        <v>1</v>
      </c>
      <c r="S58" s="19">
        <v>1</v>
      </c>
      <c r="T58" s="19">
        <v>1</v>
      </c>
      <c r="U58" s="19">
        <v>1</v>
      </c>
      <c r="V58" s="19">
        <v>1</v>
      </c>
      <c r="W58" s="19">
        <v>1</v>
      </c>
      <c r="X58" s="22">
        <v>0</v>
      </c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</row>
    <row r="59" spans="1:36" ht="15" customHeight="1" x14ac:dyDescent="0.25">
      <c r="A59" s="42"/>
      <c r="B59" s="79" t="s">
        <v>81</v>
      </c>
      <c r="C59" s="77"/>
      <c r="D59" s="20" t="s">
        <v>18</v>
      </c>
      <c r="E59" s="19">
        <v>2</v>
      </c>
      <c r="F59" s="19">
        <v>2</v>
      </c>
      <c r="G59" s="19">
        <v>2</v>
      </c>
      <c r="H59" s="19">
        <v>2</v>
      </c>
      <c r="I59" s="19">
        <v>2</v>
      </c>
      <c r="J59" s="19">
        <v>2</v>
      </c>
      <c r="K59" s="19">
        <v>2</v>
      </c>
      <c r="L59" s="19">
        <v>2</v>
      </c>
      <c r="M59" s="19">
        <v>2</v>
      </c>
      <c r="N59" s="19">
        <v>2</v>
      </c>
      <c r="O59" s="19">
        <v>2</v>
      </c>
      <c r="P59" s="19">
        <v>2</v>
      </c>
      <c r="Q59" s="19">
        <v>2</v>
      </c>
      <c r="R59" s="19">
        <v>2</v>
      </c>
      <c r="S59" s="19">
        <v>2</v>
      </c>
      <c r="T59" s="19">
        <v>2</v>
      </c>
      <c r="U59" s="19">
        <v>2</v>
      </c>
      <c r="V59" s="19">
        <v>2</v>
      </c>
      <c r="W59" s="19">
        <v>2</v>
      </c>
      <c r="X59" s="22">
        <v>0</v>
      </c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</row>
    <row r="60" spans="1:36" ht="15" customHeight="1" x14ac:dyDescent="0.25">
      <c r="A60" s="42"/>
      <c r="B60" s="79" t="s">
        <v>83</v>
      </c>
      <c r="C60" s="77"/>
      <c r="D60" s="20" t="s">
        <v>39</v>
      </c>
      <c r="E60" s="19">
        <v>1</v>
      </c>
      <c r="F60" s="19">
        <v>1</v>
      </c>
      <c r="G60" s="19">
        <v>1</v>
      </c>
      <c r="H60" s="19">
        <v>1</v>
      </c>
      <c r="I60" s="19">
        <v>1</v>
      </c>
      <c r="J60" s="19">
        <v>1</v>
      </c>
      <c r="K60" s="19">
        <v>1</v>
      </c>
      <c r="L60" s="19">
        <v>1</v>
      </c>
      <c r="M60" s="19">
        <v>1</v>
      </c>
      <c r="N60" s="19">
        <v>1</v>
      </c>
      <c r="O60" s="19">
        <v>1</v>
      </c>
      <c r="P60" s="19">
        <v>1</v>
      </c>
      <c r="Q60" s="19">
        <v>1</v>
      </c>
      <c r="R60" s="19">
        <v>1</v>
      </c>
      <c r="S60" s="19">
        <v>1</v>
      </c>
      <c r="T60" s="19">
        <v>1</v>
      </c>
      <c r="U60" s="19">
        <v>1</v>
      </c>
      <c r="V60" s="19">
        <v>1</v>
      </c>
      <c r="W60" s="19">
        <v>1</v>
      </c>
      <c r="X60" s="19">
        <v>1</v>
      </c>
      <c r="Y60" s="22">
        <v>0</v>
      </c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</row>
    <row r="61" spans="1:36" ht="15" customHeight="1" x14ac:dyDescent="0.25">
      <c r="A61" s="42"/>
      <c r="B61" s="79" t="s">
        <v>90</v>
      </c>
      <c r="C61" s="77"/>
      <c r="D61" s="20" t="s">
        <v>18</v>
      </c>
      <c r="E61" s="19">
        <v>1</v>
      </c>
      <c r="F61" s="19">
        <v>1</v>
      </c>
      <c r="G61" s="19">
        <v>1</v>
      </c>
      <c r="H61" s="19">
        <v>1</v>
      </c>
      <c r="I61" s="19">
        <v>1</v>
      </c>
      <c r="J61" s="19">
        <v>1</v>
      </c>
      <c r="K61" s="19">
        <v>1</v>
      </c>
      <c r="L61" s="19">
        <v>1</v>
      </c>
      <c r="M61" s="19">
        <v>1</v>
      </c>
      <c r="N61" s="19">
        <v>1</v>
      </c>
      <c r="O61" s="19">
        <v>1</v>
      </c>
      <c r="P61" s="19">
        <v>1</v>
      </c>
      <c r="Q61" s="19">
        <v>1</v>
      </c>
      <c r="R61" s="19">
        <v>1</v>
      </c>
      <c r="S61" s="19">
        <v>1</v>
      </c>
      <c r="T61" s="19">
        <v>1</v>
      </c>
      <c r="U61" s="19">
        <v>1</v>
      </c>
      <c r="V61" s="19">
        <v>1</v>
      </c>
      <c r="W61" s="19">
        <v>1</v>
      </c>
      <c r="X61" s="19">
        <v>1</v>
      </c>
      <c r="Y61" s="22">
        <v>0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</row>
    <row r="62" spans="1:36" ht="15" customHeight="1" x14ac:dyDescent="0.25">
      <c r="A62" s="42"/>
      <c r="B62" s="79" t="s">
        <v>85</v>
      </c>
      <c r="C62" s="77"/>
      <c r="D62" s="20" t="s">
        <v>18</v>
      </c>
      <c r="E62" s="19">
        <v>1</v>
      </c>
      <c r="F62" s="19">
        <v>1</v>
      </c>
      <c r="G62" s="19">
        <v>1</v>
      </c>
      <c r="H62" s="19">
        <v>1</v>
      </c>
      <c r="I62" s="19">
        <v>1</v>
      </c>
      <c r="J62" s="19">
        <v>1</v>
      </c>
      <c r="K62" s="19">
        <v>1</v>
      </c>
      <c r="L62" s="19">
        <v>1</v>
      </c>
      <c r="M62" s="19">
        <v>1</v>
      </c>
      <c r="N62" s="19">
        <v>1</v>
      </c>
      <c r="O62" s="19">
        <v>1</v>
      </c>
      <c r="P62" s="19">
        <v>1</v>
      </c>
      <c r="Q62" s="19">
        <v>1</v>
      </c>
      <c r="R62" s="19">
        <v>1</v>
      </c>
      <c r="S62" s="19">
        <v>1</v>
      </c>
      <c r="T62" s="19">
        <v>1</v>
      </c>
      <c r="U62" s="19">
        <v>1</v>
      </c>
      <c r="V62" s="19">
        <v>1</v>
      </c>
      <c r="W62" s="19">
        <v>1</v>
      </c>
      <c r="X62" s="19">
        <v>1</v>
      </c>
      <c r="Y62" s="22">
        <v>0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</row>
    <row r="63" spans="1:36" ht="15" customHeight="1" x14ac:dyDescent="0.25">
      <c r="A63" s="42"/>
      <c r="B63" s="79" t="s">
        <v>84</v>
      </c>
      <c r="C63" s="77"/>
      <c r="D63" s="20" t="s">
        <v>39</v>
      </c>
      <c r="E63" s="19">
        <v>1</v>
      </c>
      <c r="F63" s="19">
        <v>1</v>
      </c>
      <c r="G63" s="19">
        <v>1</v>
      </c>
      <c r="H63" s="19">
        <v>1</v>
      </c>
      <c r="I63" s="19">
        <v>1</v>
      </c>
      <c r="J63" s="19">
        <v>1</v>
      </c>
      <c r="K63" s="19">
        <v>1</v>
      </c>
      <c r="L63" s="19">
        <v>1</v>
      </c>
      <c r="M63" s="19">
        <v>1</v>
      </c>
      <c r="N63" s="19">
        <v>1</v>
      </c>
      <c r="O63" s="19">
        <v>1</v>
      </c>
      <c r="P63" s="19">
        <v>1</v>
      </c>
      <c r="Q63" s="19">
        <v>1</v>
      </c>
      <c r="R63" s="19">
        <v>1</v>
      </c>
      <c r="S63" s="19">
        <v>1</v>
      </c>
      <c r="T63" s="19">
        <v>1</v>
      </c>
      <c r="U63" s="19">
        <v>1</v>
      </c>
      <c r="V63" s="19">
        <v>1</v>
      </c>
      <c r="W63" s="19">
        <v>1</v>
      </c>
      <c r="X63" s="19">
        <v>1</v>
      </c>
      <c r="Y63" s="22">
        <v>0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</row>
    <row r="64" spans="1:36" ht="15" customHeight="1" x14ac:dyDescent="0.25">
      <c r="A64" s="42"/>
      <c r="B64" s="79" t="s">
        <v>86</v>
      </c>
      <c r="C64" s="77"/>
      <c r="D64" s="20" t="s">
        <v>18</v>
      </c>
      <c r="E64" s="19">
        <v>1</v>
      </c>
      <c r="F64" s="19">
        <v>1</v>
      </c>
      <c r="G64" s="19">
        <v>1</v>
      </c>
      <c r="H64" s="19">
        <v>1</v>
      </c>
      <c r="I64" s="19">
        <v>1</v>
      </c>
      <c r="J64" s="19">
        <v>1</v>
      </c>
      <c r="K64" s="19">
        <v>1</v>
      </c>
      <c r="L64" s="19">
        <v>1</v>
      </c>
      <c r="M64" s="19">
        <v>1</v>
      </c>
      <c r="N64" s="19">
        <v>1</v>
      </c>
      <c r="O64" s="19">
        <v>1</v>
      </c>
      <c r="P64" s="19">
        <v>1</v>
      </c>
      <c r="Q64" s="19">
        <v>1</v>
      </c>
      <c r="R64" s="19">
        <v>1</v>
      </c>
      <c r="S64" s="19">
        <v>1</v>
      </c>
      <c r="T64" s="19">
        <v>1</v>
      </c>
      <c r="U64" s="19">
        <v>1</v>
      </c>
      <c r="V64" s="19">
        <v>1</v>
      </c>
      <c r="W64" s="19">
        <v>1</v>
      </c>
      <c r="X64" s="39">
        <v>0</v>
      </c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</row>
    <row r="65" spans="1:36" ht="14.25" customHeight="1" x14ac:dyDescent="0.25">
      <c r="A65" s="42"/>
      <c r="B65" s="80" t="s">
        <v>46</v>
      </c>
      <c r="C65" s="81"/>
      <c r="D65" s="15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</row>
    <row r="66" spans="1:36" ht="14.25" customHeight="1" x14ac:dyDescent="0.25">
      <c r="A66" s="42"/>
      <c r="B66" s="76" t="s">
        <v>23</v>
      </c>
      <c r="C66" s="77"/>
      <c r="D66" s="20" t="s">
        <v>16</v>
      </c>
      <c r="E66" s="19">
        <v>8</v>
      </c>
      <c r="F66" s="19">
        <v>8</v>
      </c>
      <c r="G66" s="19">
        <v>8</v>
      </c>
      <c r="H66" s="19">
        <v>8</v>
      </c>
      <c r="I66" s="19">
        <v>8</v>
      </c>
      <c r="J66" s="19">
        <v>8</v>
      </c>
      <c r="K66" s="19">
        <v>8</v>
      </c>
      <c r="L66" s="19">
        <v>8</v>
      </c>
      <c r="M66" s="19">
        <v>8</v>
      </c>
      <c r="N66" s="19">
        <v>8</v>
      </c>
      <c r="O66" s="19">
        <v>8</v>
      </c>
      <c r="P66" s="19">
        <v>8</v>
      </c>
      <c r="Q66" s="19">
        <v>8</v>
      </c>
      <c r="R66" s="19">
        <v>8</v>
      </c>
      <c r="S66" s="19">
        <v>8</v>
      </c>
      <c r="T66" s="19">
        <v>8</v>
      </c>
      <c r="U66" s="19">
        <v>8</v>
      </c>
      <c r="V66" s="19">
        <v>8</v>
      </c>
      <c r="W66" s="19">
        <v>8</v>
      </c>
      <c r="X66" s="19">
        <v>6</v>
      </c>
      <c r="Y66" s="19">
        <v>4</v>
      </c>
      <c r="Z66" s="22">
        <v>0</v>
      </c>
      <c r="AA66" s="19"/>
      <c r="AB66" s="19"/>
      <c r="AC66" s="19"/>
      <c r="AD66" s="19"/>
      <c r="AE66" s="19"/>
      <c r="AF66" s="19"/>
      <c r="AG66" s="19"/>
      <c r="AH66" s="19"/>
      <c r="AI66" s="19"/>
      <c r="AJ66" s="19"/>
    </row>
    <row r="67" spans="1:36" ht="14.25" customHeight="1" x14ac:dyDescent="0.25">
      <c r="A67" s="42"/>
      <c r="B67" s="78" t="s">
        <v>24</v>
      </c>
      <c r="C67" s="77"/>
      <c r="D67" s="20" t="s">
        <v>16</v>
      </c>
      <c r="E67" s="17">
        <v>20</v>
      </c>
      <c r="F67" s="17">
        <v>20</v>
      </c>
      <c r="G67" s="17">
        <v>20</v>
      </c>
      <c r="H67" s="17">
        <v>20</v>
      </c>
      <c r="I67" s="17">
        <v>20</v>
      </c>
      <c r="J67" s="17">
        <v>20</v>
      </c>
      <c r="K67" s="17">
        <v>20</v>
      </c>
      <c r="L67" s="17">
        <v>20</v>
      </c>
      <c r="M67" s="17">
        <v>20</v>
      </c>
      <c r="N67" s="17">
        <v>20</v>
      </c>
      <c r="O67" s="17">
        <v>20</v>
      </c>
      <c r="P67" s="17">
        <v>20</v>
      </c>
      <c r="Q67" s="17">
        <v>20</v>
      </c>
      <c r="R67" s="17">
        <v>20</v>
      </c>
      <c r="S67" s="17">
        <v>20</v>
      </c>
      <c r="T67" s="17">
        <v>20</v>
      </c>
      <c r="U67" s="17">
        <v>20</v>
      </c>
      <c r="V67" s="17">
        <v>20</v>
      </c>
      <c r="W67" s="17">
        <v>20</v>
      </c>
      <c r="X67" s="17">
        <v>20</v>
      </c>
      <c r="Y67" s="17">
        <v>20</v>
      </c>
      <c r="Z67" s="17">
        <v>20</v>
      </c>
      <c r="AA67" s="17">
        <v>18</v>
      </c>
      <c r="AB67" s="17">
        <v>16</v>
      </c>
      <c r="AC67" s="17">
        <v>14</v>
      </c>
      <c r="AD67" s="17">
        <v>12</v>
      </c>
      <c r="AE67" s="17">
        <v>9</v>
      </c>
      <c r="AF67" s="17">
        <v>7</v>
      </c>
      <c r="AG67" s="17">
        <v>5</v>
      </c>
      <c r="AH67" s="17">
        <v>2</v>
      </c>
      <c r="AI67" s="68">
        <v>0</v>
      </c>
      <c r="AJ67" s="17"/>
    </row>
    <row r="68" spans="1:36" ht="14.25" customHeight="1" x14ac:dyDescent="0.25">
      <c r="A68" s="42"/>
      <c r="B68" s="78" t="s">
        <v>25</v>
      </c>
      <c r="C68" s="77"/>
      <c r="D68" s="20" t="s">
        <v>16</v>
      </c>
      <c r="E68" s="20">
        <v>10</v>
      </c>
      <c r="F68" s="20">
        <v>10</v>
      </c>
      <c r="G68" s="20">
        <v>10</v>
      </c>
      <c r="H68" s="20">
        <v>10</v>
      </c>
      <c r="I68" s="20">
        <v>10</v>
      </c>
      <c r="J68" s="20">
        <v>10</v>
      </c>
      <c r="K68" s="20">
        <v>10</v>
      </c>
      <c r="L68" s="20">
        <v>10</v>
      </c>
      <c r="M68" s="20">
        <v>10</v>
      </c>
      <c r="N68" s="20">
        <v>10</v>
      </c>
      <c r="O68" s="20">
        <v>10</v>
      </c>
      <c r="P68" s="20">
        <v>10</v>
      </c>
      <c r="Q68" s="20">
        <v>10</v>
      </c>
      <c r="R68" s="20">
        <v>10</v>
      </c>
      <c r="S68" s="20">
        <v>10</v>
      </c>
      <c r="T68" s="20">
        <v>10</v>
      </c>
      <c r="U68" s="20">
        <v>10</v>
      </c>
      <c r="V68" s="20">
        <v>10</v>
      </c>
      <c r="W68" s="20">
        <v>10</v>
      </c>
      <c r="X68" s="20">
        <v>10</v>
      </c>
      <c r="Y68" s="20">
        <v>10</v>
      </c>
      <c r="Z68" s="20">
        <v>10</v>
      </c>
      <c r="AA68" s="20">
        <v>10</v>
      </c>
      <c r="AB68" s="20">
        <v>9</v>
      </c>
      <c r="AC68" s="20">
        <v>7</v>
      </c>
      <c r="AD68" s="20">
        <v>5</v>
      </c>
      <c r="AE68" s="20">
        <v>3</v>
      </c>
      <c r="AF68" s="20">
        <v>2</v>
      </c>
      <c r="AG68" s="52">
        <v>1</v>
      </c>
      <c r="AH68" s="52">
        <v>1</v>
      </c>
      <c r="AI68" s="52">
        <v>1</v>
      </c>
      <c r="AJ68" s="68">
        <v>0</v>
      </c>
    </row>
    <row r="69" spans="1:36" ht="14.25" customHeight="1" x14ac:dyDescent="0.25">
      <c r="A69" s="42"/>
      <c r="B69" s="78" t="s">
        <v>26</v>
      </c>
      <c r="C69" s="77"/>
      <c r="D69" s="20" t="s">
        <v>16</v>
      </c>
      <c r="E69" s="20">
        <v>2</v>
      </c>
      <c r="F69" s="20">
        <v>2</v>
      </c>
      <c r="G69" s="20">
        <v>2</v>
      </c>
      <c r="H69" s="20">
        <v>2</v>
      </c>
      <c r="I69" s="20">
        <v>2</v>
      </c>
      <c r="J69" s="20">
        <v>2</v>
      </c>
      <c r="K69" s="20">
        <v>2</v>
      </c>
      <c r="L69" s="20">
        <v>2</v>
      </c>
      <c r="M69" s="20">
        <v>2</v>
      </c>
      <c r="N69" s="20">
        <v>2</v>
      </c>
      <c r="O69" s="20">
        <v>2</v>
      </c>
      <c r="P69" s="20">
        <v>2</v>
      </c>
      <c r="Q69" s="20">
        <v>2</v>
      </c>
      <c r="R69" s="20">
        <v>2</v>
      </c>
      <c r="S69" s="20">
        <v>2</v>
      </c>
      <c r="T69" s="20">
        <v>2</v>
      </c>
      <c r="U69" s="20">
        <v>2</v>
      </c>
      <c r="V69" s="20">
        <v>2</v>
      </c>
      <c r="W69" s="20">
        <v>2</v>
      </c>
      <c r="X69" s="20">
        <v>2</v>
      </c>
      <c r="Y69" s="20">
        <v>2</v>
      </c>
      <c r="Z69" s="20">
        <v>2</v>
      </c>
      <c r="AA69" s="20">
        <v>2</v>
      </c>
      <c r="AB69" s="20">
        <v>2</v>
      </c>
      <c r="AC69" s="20">
        <v>2</v>
      </c>
      <c r="AD69" s="20">
        <v>2</v>
      </c>
      <c r="AE69" s="20">
        <v>2</v>
      </c>
      <c r="AF69" s="20">
        <v>2</v>
      </c>
      <c r="AG69" s="20">
        <v>2</v>
      </c>
      <c r="AH69" s="20">
        <v>2</v>
      </c>
      <c r="AI69" s="20">
        <v>2</v>
      </c>
      <c r="AJ69" s="68">
        <v>0</v>
      </c>
    </row>
    <row r="70" spans="1:36" ht="14.25" customHeight="1" x14ac:dyDescent="0.25">
      <c r="A70" s="42"/>
      <c r="B70" s="42"/>
      <c r="C70" s="42"/>
      <c r="D70" s="43" t="s">
        <v>27</v>
      </c>
      <c r="E70" s="44">
        <f t="shared" ref="E70:AG70" si="0">SUM(E15:E69)</f>
        <v>169</v>
      </c>
      <c r="F70" s="44">
        <f t="shared" si="0"/>
        <v>158</v>
      </c>
      <c r="G70" s="44">
        <f t="shared" si="0"/>
        <v>152</v>
      </c>
      <c r="H70" s="44">
        <f t="shared" si="0"/>
        <v>143</v>
      </c>
      <c r="I70" s="44">
        <f t="shared" si="0"/>
        <v>139</v>
      </c>
      <c r="J70" s="44">
        <f t="shared" si="0"/>
        <v>132</v>
      </c>
      <c r="K70" s="44">
        <f t="shared" si="0"/>
        <v>130</v>
      </c>
      <c r="L70" s="44">
        <f t="shared" si="0"/>
        <v>117</v>
      </c>
      <c r="M70" s="44">
        <f t="shared" si="0"/>
        <v>110</v>
      </c>
      <c r="N70" s="44">
        <f t="shared" si="0"/>
        <v>106</v>
      </c>
      <c r="O70" s="44">
        <f t="shared" si="0"/>
        <v>98</v>
      </c>
      <c r="P70" s="44">
        <f t="shared" si="0"/>
        <v>94</v>
      </c>
      <c r="Q70" s="44">
        <f t="shared" si="0"/>
        <v>87</v>
      </c>
      <c r="R70" s="44">
        <f t="shared" si="0"/>
        <v>80</v>
      </c>
      <c r="S70" s="44">
        <f t="shared" si="0"/>
        <v>76</v>
      </c>
      <c r="T70" s="44">
        <f t="shared" si="0"/>
        <v>74</v>
      </c>
      <c r="U70" s="44">
        <f t="shared" si="0"/>
        <v>66</v>
      </c>
      <c r="V70" s="44">
        <f t="shared" si="0"/>
        <v>59</v>
      </c>
      <c r="W70" s="44">
        <f t="shared" si="0"/>
        <v>50</v>
      </c>
      <c r="X70" s="44">
        <f t="shared" si="0"/>
        <v>42</v>
      </c>
      <c r="Y70" s="44">
        <f t="shared" si="0"/>
        <v>36</v>
      </c>
      <c r="Z70" s="44">
        <f t="shared" si="0"/>
        <v>32</v>
      </c>
      <c r="AA70" s="44">
        <f t="shared" si="0"/>
        <v>30</v>
      </c>
      <c r="AB70" s="44">
        <f t="shared" si="0"/>
        <v>27</v>
      </c>
      <c r="AC70" s="44">
        <f t="shared" si="0"/>
        <v>23</v>
      </c>
      <c r="AD70" s="44">
        <f t="shared" si="0"/>
        <v>19</v>
      </c>
      <c r="AE70" s="44">
        <f t="shared" si="0"/>
        <v>14</v>
      </c>
      <c r="AF70" s="44">
        <f t="shared" si="0"/>
        <v>11</v>
      </c>
      <c r="AG70" s="44">
        <f t="shared" si="0"/>
        <v>8</v>
      </c>
      <c r="AH70" s="44">
        <f t="shared" ref="AH70:AJ70" si="1">SUM(AH15:AH69)</f>
        <v>5</v>
      </c>
      <c r="AI70" s="44">
        <f t="shared" si="1"/>
        <v>3</v>
      </c>
      <c r="AJ70" s="44">
        <f t="shared" si="1"/>
        <v>0</v>
      </c>
    </row>
    <row r="71" spans="1:36" ht="14.25" customHeight="1" x14ac:dyDescent="0.3">
      <c r="D71" s="11"/>
    </row>
    <row r="72" spans="1:36" ht="14.25" customHeight="1" x14ac:dyDescent="0.3">
      <c r="D72" s="11"/>
      <c r="E72" s="12"/>
    </row>
    <row r="73" spans="1:36" ht="14.25" customHeight="1" x14ac:dyDescent="0.3">
      <c r="D73" s="11"/>
      <c r="E73" s="12"/>
    </row>
    <row r="74" spans="1:36" ht="14.25" customHeight="1" x14ac:dyDescent="0.3">
      <c r="D74" s="11"/>
      <c r="E74" s="12"/>
    </row>
    <row r="75" spans="1:36" ht="14.25" customHeight="1" x14ac:dyDescent="0.3">
      <c r="D75" s="11"/>
      <c r="E75" s="12"/>
    </row>
    <row r="76" spans="1:36" ht="14.25" customHeight="1" x14ac:dyDescent="0.3">
      <c r="D76" s="11"/>
      <c r="E76" s="12"/>
    </row>
    <row r="77" spans="1:36" ht="14.25" customHeight="1" x14ac:dyDescent="0.3">
      <c r="D77" s="11"/>
      <c r="E77" s="12"/>
    </row>
    <row r="78" spans="1:36" ht="14.25" customHeight="1" x14ac:dyDescent="0.3">
      <c r="D78" s="11"/>
      <c r="E78" s="12"/>
    </row>
    <row r="79" spans="1:36" ht="14.25" customHeight="1" x14ac:dyDescent="0.3">
      <c r="D79" s="11"/>
      <c r="E79" s="12"/>
    </row>
    <row r="80" spans="1:36" ht="14.25" customHeight="1" x14ac:dyDescent="0.3">
      <c r="D80" s="11"/>
      <c r="E80" s="12"/>
    </row>
    <row r="81" spans="4:5" ht="14.25" customHeight="1" x14ac:dyDescent="0.3">
      <c r="D81" s="11"/>
      <c r="E81" s="12"/>
    </row>
    <row r="82" spans="4:5" ht="14.25" customHeight="1" x14ac:dyDescent="0.3">
      <c r="D82" s="11"/>
      <c r="E82" s="12"/>
    </row>
    <row r="83" spans="4:5" ht="14.25" customHeight="1" x14ac:dyDescent="0.3">
      <c r="D83" s="11"/>
      <c r="E83" s="12"/>
    </row>
    <row r="84" spans="4:5" ht="14.25" customHeight="1" x14ac:dyDescent="0.3">
      <c r="D84" s="11"/>
      <c r="E84" s="12"/>
    </row>
    <row r="85" spans="4:5" ht="14.25" customHeight="1" x14ac:dyDescent="0.3">
      <c r="D85" s="11"/>
      <c r="E85" s="12"/>
    </row>
    <row r="86" spans="4:5" ht="14.25" customHeight="1" x14ac:dyDescent="0.3">
      <c r="D86" s="11"/>
      <c r="E86" s="12"/>
    </row>
    <row r="87" spans="4:5" ht="14.25" customHeight="1" x14ac:dyDescent="0.3">
      <c r="D87" s="11"/>
      <c r="E87" s="12"/>
    </row>
    <row r="88" spans="4:5" ht="14.25" customHeight="1" x14ac:dyDescent="0.3">
      <c r="D88" s="11"/>
      <c r="E88" s="12"/>
    </row>
    <row r="89" spans="4:5" ht="14.25" customHeight="1" x14ac:dyDescent="0.3">
      <c r="D89" s="11"/>
      <c r="E89" s="12"/>
    </row>
    <row r="90" spans="4:5" ht="14.25" customHeight="1" x14ac:dyDescent="0.3">
      <c r="D90" s="11"/>
      <c r="E90" s="12"/>
    </row>
    <row r="91" spans="4:5" ht="14.25" customHeight="1" x14ac:dyDescent="0.3">
      <c r="D91" s="11"/>
      <c r="E91" s="12"/>
    </row>
    <row r="92" spans="4:5" ht="14.25" customHeight="1" x14ac:dyDescent="0.3">
      <c r="D92" s="11"/>
      <c r="E92" s="12"/>
    </row>
    <row r="93" spans="4:5" ht="14.25" customHeight="1" x14ac:dyDescent="0.3">
      <c r="D93" s="11"/>
      <c r="E93" s="12"/>
    </row>
    <row r="94" spans="4:5" ht="14.25" customHeight="1" x14ac:dyDescent="0.3">
      <c r="D94" s="11"/>
      <c r="E94" s="12"/>
    </row>
    <row r="95" spans="4:5" ht="14.25" customHeight="1" x14ac:dyDescent="0.3">
      <c r="D95" s="11"/>
      <c r="E95" s="12"/>
    </row>
    <row r="96" spans="4:5" ht="14.25" customHeight="1" x14ac:dyDescent="0.3">
      <c r="D96" s="11"/>
      <c r="E96" s="12"/>
    </row>
    <row r="97" spans="4:5" ht="14.25" customHeight="1" x14ac:dyDescent="0.3">
      <c r="D97" s="11"/>
      <c r="E97" s="12"/>
    </row>
    <row r="98" spans="4:5" ht="14.25" customHeight="1" x14ac:dyDescent="0.3">
      <c r="D98" s="11"/>
      <c r="E98" s="12"/>
    </row>
    <row r="99" spans="4:5" ht="14.25" customHeight="1" x14ac:dyDescent="0.3">
      <c r="D99" s="11"/>
      <c r="E99" s="12"/>
    </row>
    <row r="100" spans="4:5" ht="14.25" customHeight="1" x14ac:dyDescent="0.3">
      <c r="D100" s="11"/>
      <c r="E100" s="12"/>
    </row>
    <row r="101" spans="4:5" ht="14.25" customHeight="1" x14ac:dyDescent="0.3">
      <c r="D101" s="11"/>
      <c r="E101" s="12"/>
    </row>
    <row r="102" spans="4:5" ht="14.25" customHeight="1" x14ac:dyDescent="0.3">
      <c r="D102" s="11"/>
      <c r="E102" s="12"/>
    </row>
    <row r="103" spans="4:5" ht="14.25" customHeight="1" x14ac:dyDescent="0.3">
      <c r="D103" s="11"/>
      <c r="E103" s="12"/>
    </row>
    <row r="104" spans="4:5" ht="14.25" customHeight="1" x14ac:dyDescent="0.3">
      <c r="D104" s="11"/>
      <c r="E104" s="12"/>
    </row>
    <row r="105" spans="4:5" ht="14.25" customHeight="1" x14ac:dyDescent="0.3">
      <c r="D105" s="11"/>
      <c r="E105" s="12"/>
    </row>
    <row r="106" spans="4:5" ht="14.25" customHeight="1" x14ac:dyDescent="0.3">
      <c r="D106" s="11"/>
      <c r="E106" s="12"/>
    </row>
    <row r="107" spans="4:5" ht="14.25" customHeight="1" x14ac:dyDescent="0.3">
      <c r="D107" s="11"/>
      <c r="E107" s="12"/>
    </row>
    <row r="108" spans="4:5" ht="14.25" customHeight="1" x14ac:dyDescent="0.3">
      <c r="D108" s="11"/>
      <c r="E108" s="12"/>
    </row>
    <row r="109" spans="4:5" ht="14.25" customHeight="1" x14ac:dyDescent="0.3">
      <c r="D109" s="11"/>
      <c r="E109" s="12"/>
    </row>
    <row r="110" spans="4:5" ht="14.25" customHeight="1" x14ac:dyDescent="0.3">
      <c r="D110" s="11"/>
      <c r="E110" s="12"/>
    </row>
    <row r="111" spans="4:5" ht="14.25" customHeight="1" x14ac:dyDescent="0.3">
      <c r="D111" s="11"/>
      <c r="E111" s="12"/>
    </row>
    <row r="112" spans="4:5" ht="14.25" customHeight="1" x14ac:dyDescent="0.3">
      <c r="D112" s="11"/>
      <c r="E112" s="12"/>
    </row>
    <row r="113" spans="4:5" ht="14.25" customHeight="1" x14ac:dyDescent="0.3">
      <c r="D113" s="11"/>
      <c r="E113" s="12"/>
    </row>
    <row r="114" spans="4:5" ht="14.25" customHeight="1" x14ac:dyDescent="0.3">
      <c r="D114" s="11"/>
      <c r="E114" s="12"/>
    </row>
    <row r="115" spans="4:5" ht="14.25" customHeight="1" x14ac:dyDescent="0.3">
      <c r="D115" s="11"/>
      <c r="E115" s="12"/>
    </row>
    <row r="116" spans="4:5" ht="14.25" customHeight="1" x14ac:dyDescent="0.3">
      <c r="D116" s="11"/>
      <c r="E116" s="12"/>
    </row>
    <row r="117" spans="4:5" ht="14.25" customHeight="1" x14ac:dyDescent="0.3">
      <c r="D117" s="11"/>
      <c r="E117" s="12"/>
    </row>
    <row r="118" spans="4:5" ht="14.25" customHeight="1" x14ac:dyDescent="0.3">
      <c r="D118" s="11"/>
      <c r="E118" s="12"/>
    </row>
    <row r="119" spans="4:5" ht="14.25" customHeight="1" x14ac:dyDescent="0.3">
      <c r="D119" s="11"/>
      <c r="E119" s="12"/>
    </row>
    <row r="120" spans="4:5" ht="14.25" customHeight="1" x14ac:dyDescent="0.3">
      <c r="D120" s="11"/>
      <c r="E120" s="12"/>
    </row>
    <row r="121" spans="4:5" ht="14.25" customHeight="1" x14ac:dyDescent="0.3">
      <c r="D121" s="11"/>
      <c r="E121" s="12"/>
    </row>
    <row r="122" spans="4:5" ht="14.25" customHeight="1" x14ac:dyDescent="0.3">
      <c r="D122" s="11"/>
      <c r="E122" s="12"/>
    </row>
    <row r="123" spans="4:5" ht="14.25" customHeight="1" x14ac:dyDescent="0.3">
      <c r="D123" s="11"/>
      <c r="E123" s="12"/>
    </row>
    <row r="124" spans="4:5" ht="14.25" customHeight="1" x14ac:dyDescent="0.3">
      <c r="D124" s="11"/>
      <c r="E124" s="12"/>
    </row>
    <row r="125" spans="4:5" ht="14.25" customHeight="1" x14ac:dyDescent="0.3">
      <c r="D125" s="11"/>
      <c r="E125" s="12"/>
    </row>
    <row r="126" spans="4:5" ht="14.25" customHeight="1" x14ac:dyDescent="0.3">
      <c r="D126" s="11"/>
      <c r="E126" s="12"/>
    </row>
    <row r="127" spans="4:5" ht="14.25" customHeight="1" x14ac:dyDescent="0.3">
      <c r="D127" s="11"/>
      <c r="E127" s="12"/>
    </row>
    <row r="128" spans="4:5" ht="14.25" customHeight="1" x14ac:dyDescent="0.3">
      <c r="D128" s="11"/>
      <c r="E128" s="12"/>
    </row>
    <row r="129" spans="4:5" ht="14.25" customHeight="1" x14ac:dyDescent="0.3">
      <c r="D129" s="11"/>
      <c r="E129" s="12"/>
    </row>
    <row r="130" spans="4:5" ht="14.25" customHeight="1" x14ac:dyDescent="0.3">
      <c r="D130" s="11"/>
      <c r="E130" s="12"/>
    </row>
    <row r="131" spans="4:5" ht="14.25" customHeight="1" x14ac:dyDescent="0.3">
      <c r="D131" s="11"/>
      <c r="E131" s="12"/>
    </row>
    <row r="132" spans="4:5" ht="14.25" customHeight="1" x14ac:dyDescent="0.3">
      <c r="D132" s="11"/>
      <c r="E132" s="12"/>
    </row>
    <row r="133" spans="4:5" ht="14.25" customHeight="1" x14ac:dyDescent="0.3">
      <c r="D133" s="11"/>
      <c r="E133" s="12"/>
    </row>
    <row r="134" spans="4:5" ht="14.25" customHeight="1" x14ac:dyDescent="0.3">
      <c r="D134" s="11"/>
      <c r="E134" s="12"/>
    </row>
    <row r="135" spans="4:5" ht="14.25" customHeight="1" x14ac:dyDescent="0.3">
      <c r="D135" s="11"/>
      <c r="E135" s="12"/>
    </row>
    <row r="136" spans="4:5" ht="14.25" customHeight="1" x14ac:dyDescent="0.3">
      <c r="D136" s="11"/>
      <c r="E136" s="12"/>
    </row>
    <row r="137" spans="4:5" ht="14.25" customHeight="1" x14ac:dyDescent="0.3">
      <c r="D137" s="11"/>
      <c r="E137" s="12"/>
    </row>
    <row r="138" spans="4:5" ht="14.25" customHeight="1" x14ac:dyDescent="0.3">
      <c r="D138" s="11"/>
      <c r="E138" s="12"/>
    </row>
    <row r="139" spans="4:5" ht="14.25" customHeight="1" x14ac:dyDescent="0.3">
      <c r="D139" s="11"/>
      <c r="E139" s="12"/>
    </row>
    <row r="140" spans="4:5" ht="14.25" customHeight="1" x14ac:dyDescent="0.3">
      <c r="D140" s="11"/>
      <c r="E140" s="12"/>
    </row>
    <row r="141" spans="4:5" ht="14.25" customHeight="1" x14ac:dyDescent="0.3">
      <c r="D141" s="11"/>
      <c r="E141" s="12"/>
    </row>
    <row r="142" spans="4:5" ht="14.25" customHeight="1" x14ac:dyDescent="0.3">
      <c r="D142" s="11"/>
      <c r="E142" s="12"/>
    </row>
    <row r="143" spans="4:5" ht="14.25" customHeight="1" x14ac:dyDescent="0.3">
      <c r="D143" s="11"/>
      <c r="E143" s="12"/>
    </row>
    <row r="144" spans="4:5" ht="14.25" customHeight="1" x14ac:dyDescent="0.3">
      <c r="D144" s="11"/>
      <c r="E144" s="12"/>
    </row>
    <row r="145" spans="4:5" ht="14.25" customHeight="1" x14ac:dyDescent="0.3">
      <c r="D145" s="11"/>
      <c r="E145" s="12"/>
    </row>
    <row r="146" spans="4:5" ht="14.25" customHeight="1" x14ac:dyDescent="0.3">
      <c r="D146" s="11"/>
      <c r="E146" s="12"/>
    </row>
    <row r="147" spans="4:5" ht="14.25" customHeight="1" x14ac:dyDescent="0.3">
      <c r="D147" s="11"/>
      <c r="E147" s="12"/>
    </row>
    <row r="148" spans="4:5" ht="14.25" customHeight="1" x14ac:dyDescent="0.3">
      <c r="D148" s="11"/>
      <c r="E148" s="12"/>
    </row>
    <row r="149" spans="4:5" ht="14.25" customHeight="1" x14ac:dyDescent="0.3">
      <c r="D149" s="11"/>
      <c r="E149" s="12"/>
    </row>
    <row r="150" spans="4:5" ht="14.25" customHeight="1" x14ac:dyDescent="0.3">
      <c r="D150" s="11"/>
      <c r="E150" s="12"/>
    </row>
    <row r="151" spans="4:5" ht="14.25" customHeight="1" x14ac:dyDescent="0.3">
      <c r="D151" s="11"/>
      <c r="E151" s="12"/>
    </row>
    <row r="152" spans="4:5" ht="14.25" customHeight="1" x14ac:dyDescent="0.3">
      <c r="D152" s="11"/>
      <c r="E152" s="12"/>
    </row>
    <row r="153" spans="4:5" ht="14.25" customHeight="1" x14ac:dyDescent="0.3">
      <c r="D153" s="11"/>
      <c r="E153" s="12"/>
    </row>
    <row r="154" spans="4:5" ht="14.25" customHeight="1" x14ac:dyDescent="0.3">
      <c r="D154" s="11"/>
      <c r="E154" s="12"/>
    </row>
    <row r="155" spans="4:5" ht="14.25" customHeight="1" x14ac:dyDescent="0.3">
      <c r="D155" s="11"/>
      <c r="E155" s="12"/>
    </row>
    <row r="156" spans="4:5" ht="14.25" customHeight="1" x14ac:dyDescent="0.3">
      <c r="D156" s="11"/>
      <c r="E156" s="12"/>
    </row>
    <row r="157" spans="4:5" ht="14.25" customHeight="1" x14ac:dyDescent="0.3">
      <c r="D157" s="11"/>
      <c r="E157" s="12"/>
    </row>
    <row r="158" spans="4:5" ht="14.25" customHeight="1" x14ac:dyDescent="0.3">
      <c r="D158" s="11"/>
      <c r="E158" s="12"/>
    </row>
    <row r="159" spans="4:5" ht="14.25" customHeight="1" x14ac:dyDescent="0.3">
      <c r="D159" s="11"/>
      <c r="E159" s="12"/>
    </row>
    <row r="160" spans="4:5" ht="14.25" customHeight="1" x14ac:dyDescent="0.3">
      <c r="D160" s="11"/>
      <c r="E160" s="12"/>
    </row>
    <row r="161" spans="4:5" ht="14.25" customHeight="1" x14ac:dyDescent="0.3">
      <c r="D161" s="11"/>
      <c r="E161" s="12"/>
    </row>
    <row r="162" spans="4:5" ht="14.25" customHeight="1" x14ac:dyDescent="0.3">
      <c r="D162" s="11"/>
      <c r="E162" s="12"/>
    </row>
    <row r="163" spans="4:5" ht="14.25" customHeight="1" x14ac:dyDescent="0.3">
      <c r="D163" s="11"/>
      <c r="E163" s="12"/>
    </row>
    <row r="164" spans="4:5" ht="14.25" customHeight="1" x14ac:dyDescent="0.3">
      <c r="D164" s="11"/>
      <c r="E164" s="12"/>
    </row>
    <row r="165" spans="4:5" ht="14.25" customHeight="1" x14ac:dyDescent="0.3">
      <c r="D165" s="11"/>
      <c r="E165" s="12"/>
    </row>
    <row r="166" spans="4:5" ht="14.25" customHeight="1" x14ac:dyDescent="0.3">
      <c r="D166" s="11"/>
      <c r="E166" s="12"/>
    </row>
    <row r="167" spans="4:5" ht="14.25" customHeight="1" x14ac:dyDescent="0.3">
      <c r="D167" s="11"/>
      <c r="E167" s="12"/>
    </row>
    <row r="168" spans="4:5" ht="14.25" customHeight="1" x14ac:dyDescent="0.3">
      <c r="D168" s="11"/>
      <c r="E168" s="12"/>
    </row>
    <row r="169" spans="4:5" ht="14.25" customHeight="1" x14ac:dyDescent="0.3">
      <c r="D169" s="11"/>
      <c r="E169" s="12"/>
    </row>
    <row r="170" spans="4:5" ht="14.25" customHeight="1" x14ac:dyDescent="0.3">
      <c r="D170" s="11"/>
      <c r="E170" s="12"/>
    </row>
    <row r="171" spans="4:5" ht="14.25" customHeight="1" x14ac:dyDescent="0.3">
      <c r="D171" s="11"/>
      <c r="E171" s="12"/>
    </row>
    <row r="172" spans="4:5" ht="14.25" customHeight="1" x14ac:dyDescent="0.3">
      <c r="D172" s="11"/>
      <c r="E172" s="12"/>
    </row>
    <row r="173" spans="4:5" ht="14.25" customHeight="1" x14ac:dyDescent="0.3">
      <c r="D173" s="11"/>
      <c r="E173" s="12"/>
    </row>
    <row r="174" spans="4:5" ht="14.25" customHeight="1" x14ac:dyDescent="0.3">
      <c r="D174" s="11"/>
      <c r="E174" s="12"/>
    </row>
    <row r="175" spans="4:5" ht="14.25" customHeight="1" x14ac:dyDescent="0.3">
      <c r="D175" s="11"/>
      <c r="E175" s="12"/>
    </row>
    <row r="176" spans="4:5" ht="14.25" customHeight="1" x14ac:dyDescent="0.3">
      <c r="D176" s="11"/>
      <c r="E176" s="12"/>
    </row>
    <row r="177" spans="4:5" ht="14.25" customHeight="1" x14ac:dyDescent="0.3">
      <c r="D177" s="11"/>
      <c r="E177" s="12"/>
    </row>
    <row r="178" spans="4:5" ht="14.25" customHeight="1" x14ac:dyDescent="0.3">
      <c r="D178" s="11"/>
      <c r="E178" s="12"/>
    </row>
    <row r="179" spans="4:5" ht="14.25" customHeight="1" x14ac:dyDescent="0.3">
      <c r="D179" s="11"/>
      <c r="E179" s="12"/>
    </row>
    <row r="180" spans="4:5" ht="14.25" customHeight="1" x14ac:dyDescent="0.3">
      <c r="D180" s="11"/>
      <c r="E180" s="12"/>
    </row>
    <row r="181" spans="4:5" ht="14.25" customHeight="1" x14ac:dyDescent="0.3">
      <c r="D181" s="11"/>
      <c r="E181" s="12"/>
    </row>
    <row r="182" spans="4:5" ht="14.25" customHeight="1" x14ac:dyDescent="0.3">
      <c r="D182" s="11"/>
      <c r="E182" s="12"/>
    </row>
    <row r="183" spans="4:5" ht="14.25" customHeight="1" x14ac:dyDescent="0.3">
      <c r="D183" s="11"/>
      <c r="E183" s="12"/>
    </row>
    <row r="184" spans="4:5" ht="14.25" customHeight="1" x14ac:dyDescent="0.3">
      <c r="D184" s="11"/>
      <c r="E184" s="12"/>
    </row>
    <row r="185" spans="4:5" ht="14.25" customHeight="1" x14ac:dyDescent="0.3">
      <c r="D185" s="11"/>
      <c r="E185" s="12"/>
    </row>
    <row r="186" spans="4:5" ht="14.25" customHeight="1" x14ac:dyDescent="0.3">
      <c r="D186" s="11"/>
      <c r="E186" s="12"/>
    </row>
    <row r="187" spans="4:5" ht="14.25" customHeight="1" x14ac:dyDescent="0.3">
      <c r="D187" s="11"/>
      <c r="E187" s="12"/>
    </row>
    <row r="188" spans="4:5" ht="14.25" customHeight="1" x14ac:dyDescent="0.3">
      <c r="D188" s="11"/>
      <c r="E188" s="12"/>
    </row>
    <row r="189" spans="4:5" ht="14.25" customHeight="1" x14ac:dyDescent="0.3">
      <c r="D189" s="11"/>
      <c r="E189" s="12"/>
    </row>
    <row r="190" spans="4:5" ht="14.25" customHeight="1" x14ac:dyDescent="0.3">
      <c r="D190" s="11"/>
      <c r="E190" s="12"/>
    </row>
    <row r="191" spans="4:5" ht="14.25" customHeight="1" x14ac:dyDescent="0.3">
      <c r="D191" s="11"/>
      <c r="E191" s="12"/>
    </row>
    <row r="192" spans="4:5" ht="14.25" customHeight="1" x14ac:dyDescent="0.3">
      <c r="D192" s="11"/>
      <c r="E192" s="12"/>
    </row>
    <row r="193" spans="4:5" ht="14.25" customHeight="1" x14ac:dyDescent="0.3">
      <c r="D193" s="11"/>
      <c r="E193" s="12"/>
    </row>
    <row r="194" spans="4:5" ht="14.25" customHeight="1" x14ac:dyDescent="0.3">
      <c r="D194" s="11"/>
      <c r="E194" s="12"/>
    </row>
    <row r="195" spans="4:5" ht="14.25" customHeight="1" x14ac:dyDescent="0.3">
      <c r="D195" s="11"/>
      <c r="E195" s="12"/>
    </row>
    <row r="196" spans="4:5" ht="14.25" customHeight="1" x14ac:dyDescent="0.3">
      <c r="D196" s="11"/>
      <c r="E196" s="12"/>
    </row>
    <row r="197" spans="4:5" ht="14.25" customHeight="1" x14ac:dyDescent="0.3">
      <c r="D197" s="11"/>
      <c r="E197" s="12"/>
    </row>
    <row r="198" spans="4:5" ht="14.25" customHeight="1" x14ac:dyDescent="0.3">
      <c r="D198" s="11"/>
      <c r="E198" s="12"/>
    </row>
    <row r="199" spans="4:5" ht="14.25" customHeight="1" x14ac:dyDescent="0.3">
      <c r="D199" s="11"/>
      <c r="E199" s="12"/>
    </row>
    <row r="200" spans="4:5" ht="14.25" customHeight="1" x14ac:dyDescent="0.3">
      <c r="D200" s="11"/>
      <c r="E200" s="12"/>
    </row>
    <row r="201" spans="4:5" ht="14.25" customHeight="1" x14ac:dyDescent="0.3">
      <c r="D201" s="11"/>
      <c r="E201" s="12"/>
    </row>
    <row r="202" spans="4:5" ht="14.25" customHeight="1" x14ac:dyDescent="0.3">
      <c r="D202" s="11"/>
      <c r="E202" s="12"/>
    </row>
    <row r="203" spans="4:5" ht="14.25" customHeight="1" x14ac:dyDescent="0.3">
      <c r="D203" s="11"/>
      <c r="E203" s="12"/>
    </row>
    <row r="204" spans="4:5" ht="14.25" customHeight="1" x14ac:dyDescent="0.3">
      <c r="D204" s="11"/>
      <c r="E204" s="12"/>
    </row>
    <row r="205" spans="4:5" ht="14.25" customHeight="1" x14ac:dyDescent="0.3">
      <c r="D205" s="11"/>
      <c r="E205" s="12"/>
    </row>
    <row r="206" spans="4:5" ht="14.25" customHeight="1" x14ac:dyDescent="0.3">
      <c r="D206" s="11"/>
      <c r="E206" s="12"/>
    </row>
    <row r="207" spans="4:5" ht="14.25" customHeight="1" x14ac:dyDescent="0.3">
      <c r="D207" s="11"/>
      <c r="E207" s="12"/>
    </row>
    <row r="208" spans="4:5" ht="14.25" customHeight="1" x14ac:dyDescent="0.3">
      <c r="D208" s="11"/>
      <c r="E208" s="12"/>
    </row>
    <row r="209" spans="4:5" ht="14.25" customHeight="1" x14ac:dyDescent="0.3">
      <c r="D209" s="11"/>
      <c r="E209" s="12"/>
    </row>
    <row r="210" spans="4:5" ht="14.25" customHeight="1" x14ac:dyDescent="0.3">
      <c r="D210" s="11"/>
      <c r="E210" s="12"/>
    </row>
    <row r="211" spans="4:5" ht="14.25" customHeight="1" x14ac:dyDescent="0.3">
      <c r="D211" s="11"/>
      <c r="E211" s="12"/>
    </row>
    <row r="212" spans="4:5" ht="14.25" customHeight="1" x14ac:dyDescent="0.3">
      <c r="D212" s="11"/>
      <c r="E212" s="12"/>
    </row>
    <row r="213" spans="4:5" ht="14.25" customHeight="1" x14ac:dyDescent="0.3">
      <c r="D213" s="11"/>
      <c r="E213" s="12"/>
    </row>
    <row r="214" spans="4:5" ht="14.25" customHeight="1" x14ac:dyDescent="0.3">
      <c r="D214" s="11"/>
      <c r="E214" s="12"/>
    </row>
    <row r="215" spans="4:5" ht="14.25" customHeight="1" x14ac:dyDescent="0.3">
      <c r="D215" s="11"/>
      <c r="E215" s="12"/>
    </row>
    <row r="216" spans="4:5" ht="14.25" customHeight="1" x14ac:dyDescent="0.3">
      <c r="D216" s="11"/>
      <c r="E216" s="12"/>
    </row>
    <row r="217" spans="4:5" ht="14.25" customHeight="1" x14ac:dyDescent="0.3">
      <c r="D217" s="11"/>
      <c r="E217" s="12"/>
    </row>
    <row r="218" spans="4:5" ht="14.25" customHeight="1" x14ac:dyDescent="0.3">
      <c r="D218" s="11"/>
      <c r="E218" s="12"/>
    </row>
    <row r="219" spans="4:5" ht="14.25" customHeight="1" x14ac:dyDescent="0.3">
      <c r="D219" s="11"/>
      <c r="E219" s="12"/>
    </row>
    <row r="220" spans="4:5" ht="14.25" customHeight="1" x14ac:dyDescent="0.3">
      <c r="D220" s="11"/>
      <c r="E220" s="12"/>
    </row>
    <row r="221" spans="4:5" ht="14.25" customHeight="1" x14ac:dyDescent="0.3">
      <c r="D221" s="11"/>
      <c r="E221" s="12"/>
    </row>
    <row r="222" spans="4:5" ht="14.25" customHeight="1" x14ac:dyDescent="0.3">
      <c r="D222" s="11"/>
      <c r="E222" s="12"/>
    </row>
    <row r="223" spans="4:5" ht="14.25" customHeight="1" x14ac:dyDescent="0.3">
      <c r="D223" s="11"/>
      <c r="E223" s="12"/>
    </row>
    <row r="224" spans="4:5" ht="14.25" customHeight="1" x14ac:dyDescent="0.3">
      <c r="D224" s="11"/>
      <c r="E224" s="12"/>
    </row>
    <row r="225" spans="4:5" ht="14.25" customHeight="1" x14ac:dyDescent="0.3">
      <c r="D225" s="11"/>
      <c r="E225" s="12"/>
    </row>
    <row r="226" spans="4:5" ht="14.25" customHeight="1" x14ac:dyDescent="0.3">
      <c r="D226" s="11"/>
      <c r="E226" s="12"/>
    </row>
    <row r="227" spans="4:5" ht="14.25" customHeight="1" x14ac:dyDescent="0.3">
      <c r="D227" s="11"/>
      <c r="E227" s="12"/>
    </row>
    <row r="228" spans="4:5" ht="14.25" customHeight="1" x14ac:dyDescent="0.3">
      <c r="D228" s="11"/>
      <c r="E228" s="12"/>
    </row>
    <row r="229" spans="4:5" ht="14.25" customHeight="1" x14ac:dyDescent="0.3">
      <c r="D229" s="11"/>
      <c r="E229" s="12"/>
    </row>
    <row r="230" spans="4:5" ht="14.25" customHeight="1" x14ac:dyDescent="0.3">
      <c r="D230" s="11"/>
      <c r="E230" s="12"/>
    </row>
    <row r="231" spans="4:5" ht="14.25" customHeight="1" x14ac:dyDescent="0.3">
      <c r="D231" s="11"/>
      <c r="E231" s="12"/>
    </row>
    <row r="232" spans="4:5" ht="14.25" customHeight="1" x14ac:dyDescent="0.3">
      <c r="D232" s="11"/>
      <c r="E232" s="12"/>
    </row>
    <row r="233" spans="4:5" ht="14.25" customHeight="1" x14ac:dyDescent="0.3">
      <c r="D233" s="11"/>
      <c r="E233" s="12"/>
    </row>
    <row r="234" spans="4:5" ht="14.25" customHeight="1" x14ac:dyDescent="0.3">
      <c r="D234" s="11"/>
      <c r="E234" s="12"/>
    </row>
    <row r="235" spans="4:5" ht="14.25" customHeight="1" x14ac:dyDescent="0.3">
      <c r="D235" s="11"/>
      <c r="E235" s="12"/>
    </row>
    <row r="236" spans="4:5" ht="14.25" customHeight="1" x14ac:dyDescent="0.3">
      <c r="D236" s="11"/>
      <c r="E236" s="12"/>
    </row>
    <row r="237" spans="4:5" ht="14.25" customHeight="1" x14ac:dyDescent="0.3">
      <c r="D237" s="11"/>
      <c r="E237" s="12"/>
    </row>
    <row r="238" spans="4:5" ht="14.25" customHeight="1" x14ac:dyDescent="0.3">
      <c r="D238" s="11"/>
      <c r="E238" s="12"/>
    </row>
    <row r="239" spans="4:5" ht="14.25" customHeight="1" x14ac:dyDescent="0.3">
      <c r="D239" s="11"/>
      <c r="E239" s="12"/>
    </row>
    <row r="240" spans="4:5" ht="14.25" customHeight="1" x14ac:dyDescent="0.3">
      <c r="D240" s="11"/>
      <c r="E240" s="12"/>
    </row>
    <row r="241" spans="4:5" ht="14.25" customHeight="1" x14ac:dyDescent="0.3">
      <c r="D241" s="11"/>
      <c r="E241" s="12"/>
    </row>
    <row r="242" spans="4:5" ht="14.25" customHeight="1" x14ac:dyDescent="0.3">
      <c r="D242" s="11"/>
      <c r="E242" s="12"/>
    </row>
    <row r="243" spans="4:5" ht="14.25" customHeight="1" x14ac:dyDescent="0.3">
      <c r="D243" s="11"/>
      <c r="E243" s="12"/>
    </row>
    <row r="244" spans="4:5" ht="14.25" customHeight="1" x14ac:dyDescent="0.3">
      <c r="D244" s="11"/>
      <c r="E244" s="12"/>
    </row>
    <row r="245" spans="4:5" ht="14.25" customHeight="1" x14ac:dyDescent="0.3">
      <c r="D245" s="11"/>
      <c r="E245" s="12"/>
    </row>
    <row r="246" spans="4:5" ht="14.25" customHeight="1" x14ac:dyDescent="0.3">
      <c r="D246" s="11"/>
      <c r="E246" s="12"/>
    </row>
    <row r="247" spans="4:5" ht="14.25" customHeight="1" x14ac:dyDescent="0.3">
      <c r="D247" s="11"/>
      <c r="E247" s="12"/>
    </row>
    <row r="248" spans="4:5" ht="14.25" customHeight="1" x14ac:dyDescent="0.3">
      <c r="D248" s="11"/>
      <c r="E248" s="12"/>
    </row>
    <row r="249" spans="4:5" ht="14.25" customHeight="1" x14ac:dyDescent="0.3">
      <c r="D249" s="11"/>
      <c r="E249" s="12"/>
    </row>
    <row r="250" spans="4:5" ht="14.25" customHeight="1" x14ac:dyDescent="0.3">
      <c r="D250" s="11"/>
      <c r="E250" s="12"/>
    </row>
    <row r="251" spans="4:5" ht="14.25" customHeight="1" x14ac:dyDescent="0.3">
      <c r="D251" s="11"/>
      <c r="E251" s="12"/>
    </row>
    <row r="252" spans="4:5" ht="14.25" customHeight="1" x14ac:dyDescent="0.3">
      <c r="D252" s="11"/>
      <c r="E252" s="12"/>
    </row>
    <row r="253" spans="4:5" ht="14.25" customHeight="1" x14ac:dyDescent="0.3">
      <c r="D253" s="11"/>
      <c r="E253" s="12"/>
    </row>
    <row r="254" spans="4:5" ht="14.25" customHeight="1" x14ac:dyDescent="0.3">
      <c r="D254" s="11"/>
      <c r="E254" s="12"/>
    </row>
    <row r="255" spans="4:5" ht="14.25" customHeight="1" x14ac:dyDescent="0.3">
      <c r="D255" s="11"/>
      <c r="E255" s="12"/>
    </row>
    <row r="256" spans="4:5" ht="14.25" customHeight="1" x14ac:dyDescent="0.3">
      <c r="D256" s="11"/>
      <c r="E256" s="12"/>
    </row>
    <row r="257" spans="4:5" ht="14.25" customHeight="1" x14ac:dyDescent="0.3">
      <c r="D257" s="11"/>
      <c r="E257" s="12"/>
    </row>
    <row r="258" spans="4:5" ht="14.25" customHeight="1" x14ac:dyDescent="0.3">
      <c r="D258" s="11"/>
      <c r="E258" s="12"/>
    </row>
    <row r="259" spans="4:5" ht="14.25" customHeight="1" x14ac:dyDescent="0.3">
      <c r="D259" s="11"/>
      <c r="E259" s="12"/>
    </row>
    <row r="260" spans="4:5" ht="14.25" customHeight="1" x14ac:dyDescent="0.3">
      <c r="D260" s="11"/>
      <c r="E260" s="12"/>
    </row>
    <row r="261" spans="4:5" ht="14.25" customHeight="1" x14ac:dyDescent="0.3">
      <c r="D261" s="11"/>
      <c r="E261" s="12"/>
    </row>
    <row r="262" spans="4:5" ht="14.25" customHeight="1" x14ac:dyDescent="0.3">
      <c r="D262" s="11"/>
      <c r="E262" s="12"/>
    </row>
    <row r="263" spans="4:5" ht="14.25" customHeight="1" x14ac:dyDescent="0.3">
      <c r="D263" s="11"/>
      <c r="E263" s="12"/>
    </row>
    <row r="264" spans="4:5" ht="14.25" customHeight="1" x14ac:dyDescent="0.3">
      <c r="D264" s="11"/>
      <c r="E264" s="12"/>
    </row>
    <row r="265" spans="4:5" ht="14.25" customHeight="1" x14ac:dyDescent="0.3">
      <c r="D265" s="11"/>
      <c r="E265" s="12"/>
    </row>
    <row r="266" spans="4:5" ht="14.25" customHeight="1" x14ac:dyDescent="0.3">
      <c r="D266" s="11"/>
      <c r="E266" s="12"/>
    </row>
    <row r="267" spans="4:5" ht="15.75" customHeight="1" x14ac:dyDescent="0.2"/>
    <row r="268" spans="4:5" ht="15.75" customHeight="1" x14ac:dyDescent="0.2"/>
    <row r="269" spans="4:5" ht="15.75" customHeight="1" x14ac:dyDescent="0.2"/>
    <row r="270" spans="4:5" ht="15.75" customHeight="1" x14ac:dyDescent="0.2"/>
    <row r="271" spans="4:5" ht="15.75" customHeight="1" x14ac:dyDescent="0.2"/>
    <row r="272" spans="4:5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mergeCells count="68">
    <mergeCell ref="J12:K12"/>
    <mergeCell ref="A1:B1"/>
    <mergeCell ref="A2:B2"/>
    <mergeCell ref="A3:B3"/>
    <mergeCell ref="A4:B4"/>
    <mergeCell ref="A5:B5"/>
    <mergeCell ref="H7:K7"/>
    <mergeCell ref="B8:C8"/>
    <mergeCell ref="H8:K8"/>
    <mergeCell ref="H9:K9"/>
    <mergeCell ref="H10:K10"/>
    <mergeCell ref="B25:C25"/>
    <mergeCell ref="A13:C13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7:C37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49:C49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51:C51"/>
    <mergeCell ref="B52:C52"/>
    <mergeCell ref="B53:C53"/>
    <mergeCell ref="B54:C54"/>
    <mergeCell ref="B55:C55"/>
    <mergeCell ref="B68:C68"/>
    <mergeCell ref="B69:C69"/>
    <mergeCell ref="A7:E7"/>
    <mergeCell ref="B62:C62"/>
    <mergeCell ref="B63:C63"/>
    <mergeCell ref="B64:C64"/>
    <mergeCell ref="B65:C65"/>
    <mergeCell ref="B66:C66"/>
    <mergeCell ref="B67:C67"/>
    <mergeCell ref="B56:C56"/>
    <mergeCell ref="B57:C57"/>
    <mergeCell ref="B58:C58"/>
    <mergeCell ref="B59:C59"/>
    <mergeCell ref="B60:C60"/>
    <mergeCell ref="B61:C61"/>
    <mergeCell ref="B50:C50"/>
  </mergeCells>
  <printOptions horizontalCentered="1" verticalCentered="1"/>
  <pageMargins left="0.25" right="0.25" top="0.75" bottom="0.75" header="0.3" footer="0.3"/>
  <pageSetup paperSize="8" scale="6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FC0C2-CA8B-4678-AFDA-B1942CB477DF}">
  <sheetPr>
    <pageSetUpPr fitToPage="1"/>
  </sheetPr>
  <dimension ref="A1:P34"/>
  <sheetViews>
    <sheetView view="pageBreakPreview" topLeftCell="A13" zoomScale="60" zoomScaleNormal="55" workbookViewId="0">
      <selection sqref="A1:P35"/>
    </sheetView>
  </sheetViews>
  <sheetFormatPr defaultRowHeight="14.25" x14ac:dyDescent="0.2"/>
  <cols>
    <col min="1" max="1" width="10.125" style="62" bestFit="1" customWidth="1"/>
    <col min="2" max="2" width="10.25" customWidth="1"/>
    <col min="3" max="3" width="12.25" bestFit="1" customWidth="1"/>
  </cols>
  <sheetData>
    <row r="1" spans="1:16" ht="18" x14ac:dyDescent="0.25">
      <c r="A1" s="113" t="s">
        <v>89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3" spans="1:16" ht="16.5" x14ac:dyDescent="0.2">
      <c r="A3" s="61" t="s">
        <v>7</v>
      </c>
      <c r="B3" s="49" t="s">
        <v>8</v>
      </c>
      <c r="C3" s="29" t="s">
        <v>34</v>
      </c>
    </row>
    <row r="4" spans="1:16" ht="16.5" x14ac:dyDescent="0.25">
      <c r="A4" s="63">
        <v>158</v>
      </c>
      <c r="B4" s="64">
        <v>158</v>
      </c>
      <c r="C4" s="65">
        <v>44270</v>
      </c>
    </row>
    <row r="5" spans="1:16" ht="16.5" x14ac:dyDescent="0.25">
      <c r="A5" s="63">
        <v>153</v>
      </c>
      <c r="B5" s="64">
        <v>152</v>
      </c>
      <c r="C5" s="65">
        <v>44271</v>
      </c>
    </row>
    <row r="6" spans="1:16" ht="16.5" x14ac:dyDescent="0.25">
      <c r="A6" s="63">
        <v>145</v>
      </c>
      <c r="B6" s="64">
        <v>143</v>
      </c>
      <c r="C6" s="65">
        <v>44272</v>
      </c>
    </row>
    <row r="7" spans="1:16" ht="16.5" x14ac:dyDescent="0.25">
      <c r="A7" s="63">
        <v>139</v>
      </c>
      <c r="B7" s="64">
        <v>139</v>
      </c>
      <c r="C7" s="65">
        <v>44273</v>
      </c>
    </row>
    <row r="8" spans="1:16" ht="16.5" x14ac:dyDescent="0.25">
      <c r="A8" s="63">
        <v>132</v>
      </c>
      <c r="B8" s="64">
        <v>132</v>
      </c>
      <c r="C8" s="65">
        <v>44274</v>
      </c>
    </row>
    <row r="9" spans="1:16" ht="16.5" x14ac:dyDescent="0.25">
      <c r="A9" s="63">
        <v>126</v>
      </c>
      <c r="B9" s="64">
        <v>130</v>
      </c>
      <c r="C9" s="65">
        <v>44275</v>
      </c>
    </row>
    <row r="10" spans="1:16" ht="16.5" x14ac:dyDescent="0.25">
      <c r="A10" s="63">
        <v>118</v>
      </c>
      <c r="B10" s="64">
        <v>117</v>
      </c>
      <c r="C10" s="65">
        <v>44276</v>
      </c>
    </row>
    <row r="11" spans="1:16" ht="16.5" x14ac:dyDescent="0.25">
      <c r="A11" s="63">
        <v>110</v>
      </c>
      <c r="B11" s="64">
        <v>110</v>
      </c>
      <c r="C11" s="65">
        <v>44277</v>
      </c>
    </row>
    <row r="12" spans="1:16" ht="16.5" x14ac:dyDescent="0.25">
      <c r="A12" s="63">
        <v>104</v>
      </c>
      <c r="B12" s="64">
        <v>106</v>
      </c>
      <c r="C12" s="65">
        <v>44278</v>
      </c>
    </row>
    <row r="13" spans="1:16" ht="16.5" x14ac:dyDescent="0.25">
      <c r="A13" s="63">
        <v>98</v>
      </c>
      <c r="B13" s="64">
        <v>98</v>
      </c>
      <c r="C13" s="65">
        <v>44279</v>
      </c>
    </row>
    <row r="14" spans="1:16" ht="16.5" x14ac:dyDescent="0.25">
      <c r="A14" s="63">
        <v>92</v>
      </c>
      <c r="B14" s="64">
        <v>94</v>
      </c>
      <c r="C14" s="65">
        <v>44280</v>
      </c>
    </row>
    <row r="15" spans="1:16" ht="16.5" x14ac:dyDescent="0.25">
      <c r="A15" s="63">
        <v>86</v>
      </c>
      <c r="B15" s="64">
        <v>87</v>
      </c>
      <c r="C15" s="65">
        <v>44281</v>
      </c>
    </row>
    <row r="16" spans="1:16" ht="16.5" x14ac:dyDescent="0.25">
      <c r="A16" s="63">
        <v>80</v>
      </c>
      <c r="B16" s="64">
        <v>80</v>
      </c>
      <c r="C16" s="65">
        <v>44282</v>
      </c>
    </row>
    <row r="17" spans="1:3" ht="16.5" x14ac:dyDescent="0.25">
      <c r="A17" s="63">
        <v>74</v>
      </c>
      <c r="B17" s="64">
        <v>76</v>
      </c>
      <c r="C17" s="65">
        <v>44283</v>
      </c>
    </row>
    <row r="18" spans="1:3" ht="16.5" x14ac:dyDescent="0.25">
      <c r="A18" s="63">
        <v>66</v>
      </c>
      <c r="B18" s="64">
        <v>74</v>
      </c>
      <c r="C18" s="65">
        <v>44284</v>
      </c>
    </row>
    <row r="19" spans="1:3" ht="16.5" x14ac:dyDescent="0.25">
      <c r="A19" s="63">
        <v>60</v>
      </c>
      <c r="B19" s="64">
        <v>66</v>
      </c>
      <c r="C19" s="65">
        <v>44285</v>
      </c>
    </row>
    <row r="20" spans="1:3" ht="16.5" x14ac:dyDescent="0.25">
      <c r="A20" s="63">
        <v>55</v>
      </c>
      <c r="B20" s="64">
        <v>59</v>
      </c>
      <c r="C20" s="65">
        <v>44286</v>
      </c>
    </row>
    <row r="21" spans="1:3" ht="16.5" x14ac:dyDescent="0.25">
      <c r="A21" s="63">
        <v>50</v>
      </c>
      <c r="B21" s="64">
        <v>50</v>
      </c>
      <c r="C21" s="65">
        <v>44287</v>
      </c>
    </row>
    <row r="22" spans="1:3" ht="16.5" x14ac:dyDescent="0.25">
      <c r="A22" s="63">
        <v>43</v>
      </c>
      <c r="B22" s="64">
        <v>42</v>
      </c>
      <c r="C22" s="65">
        <v>44288</v>
      </c>
    </row>
    <row r="23" spans="1:3" ht="16.5" x14ac:dyDescent="0.25">
      <c r="A23" s="63">
        <v>36</v>
      </c>
      <c r="B23" s="64">
        <v>36</v>
      </c>
      <c r="C23" s="65">
        <v>44289</v>
      </c>
    </row>
    <row r="24" spans="1:3" ht="16.5" x14ac:dyDescent="0.25">
      <c r="A24" s="63">
        <v>32</v>
      </c>
      <c r="B24" s="64">
        <v>32</v>
      </c>
      <c r="C24" s="65">
        <v>44290</v>
      </c>
    </row>
    <row r="25" spans="1:3" ht="16.5" x14ac:dyDescent="0.25">
      <c r="A25" s="63">
        <v>27</v>
      </c>
      <c r="B25" s="64">
        <v>30</v>
      </c>
      <c r="C25" s="65">
        <v>44291</v>
      </c>
    </row>
    <row r="26" spans="1:3" ht="16.5" x14ac:dyDescent="0.25">
      <c r="A26" s="63">
        <v>22</v>
      </c>
      <c r="B26" s="64">
        <v>27</v>
      </c>
      <c r="C26" s="65">
        <v>44292</v>
      </c>
    </row>
    <row r="27" spans="1:3" ht="16.5" x14ac:dyDescent="0.25">
      <c r="A27" s="63">
        <v>16</v>
      </c>
      <c r="B27" s="64">
        <v>23</v>
      </c>
      <c r="C27" s="65">
        <v>44293</v>
      </c>
    </row>
    <row r="28" spans="1:3" ht="16.5" x14ac:dyDescent="0.25">
      <c r="A28" s="63">
        <v>12</v>
      </c>
      <c r="B28" s="64">
        <v>19</v>
      </c>
      <c r="C28" s="65">
        <v>44294</v>
      </c>
    </row>
    <row r="29" spans="1:3" ht="16.5" x14ac:dyDescent="0.25">
      <c r="A29" s="63">
        <v>8</v>
      </c>
      <c r="B29" s="64">
        <v>14</v>
      </c>
      <c r="C29" s="65">
        <v>44295</v>
      </c>
    </row>
    <row r="30" spans="1:3" ht="16.5" x14ac:dyDescent="0.25">
      <c r="A30" s="69">
        <v>6</v>
      </c>
      <c r="B30" s="64">
        <v>11</v>
      </c>
      <c r="C30" s="65">
        <v>44296</v>
      </c>
    </row>
    <row r="31" spans="1:3" ht="16.5" x14ac:dyDescent="0.25">
      <c r="A31" s="69">
        <v>3</v>
      </c>
      <c r="B31" s="64">
        <v>8</v>
      </c>
      <c r="C31" s="65">
        <v>44297</v>
      </c>
    </row>
    <row r="32" spans="1:3" ht="16.5" x14ac:dyDescent="0.25">
      <c r="A32" s="71">
        <v>0</v>
      </c>
      <c r="B32" s="64">
        <v>5</v>
      </c>
      <c r="C32" s="65">
        <v>44298</v>
      </c>
    </row>
    <row r="33" spans="1:3" ht="16.5" x14ac:dyDescent="0.25">
      <c r="A33" s="66"/>
      <c r="B33" s="64">
        <v>3</v>
      </c>
      <c r="C33" s="65">
        <v>44299</v>
      </c>
    </row>
    <row r="34" spans="1:3" ht="16.5" x14ac:dyDescent="0.25">
      <c r="A34" s="70"/>
      <c r="B34" s="64">
        <v>0</v>
      </c>
      <c r="C34" s="65">
        <v>44300</v>
      </c>
    </row>
  </sheetData>
  <mergeCells count="1">
    <mergeCell ref="A1:P1"/>
  </mergeCells>
  <printOptions horizontalCentered="1" verticalCentered="1"/>
  <pageMargins left="0.31496062992126" right="0.31496062992126" top="0.74803149606299202" bottom="0.35433070866141703" header="0.31496062992126" footer="0.31496062992126"/>
  <pageSetup paperSize="8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E988FA-BA54-442F-A2FB-472E5DE2167E}">
          <x14:colorSeries theme="3"/>
          <x14:colorNegative theme="4"/>
          <x14:colorAxis rgb="FF000000"/>
          <x14:colorMarkers theme="9"/>
          <x14:colorFirst theme="5"/>
          <x14:colorLast theme="6"/>
          <x14:colorHigh theme="7"/>
          <x14:colorLow theme="8"/>
          <x14:sparklines>
            <x14:sparkline>
              <xm:f>Chart!B5</xm:f>
              <xm:sqref>E4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Estimate</vt:lpstr>
      <vt:lpstr>Actual</vt:lpstr>
      <vt:lpstr>Chart</vt:lpstr>
      <vt:lpstr>Actual!Print_Area</vt:lpstr>
      <vt:lpstr>Chart!Print_Area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Hà</dc:creator>
  <cp:lastModifiedBy>Nguyen Khac Nguyen Khoa</cp:lastModifiedBy>
  <cp:lastPrinted>2021-05-26T09:10:28Z</cp:lastPrinted>
  <dcterms:created xsi:type="dcterms:W3CDTF">2021-04-24T08:12:25Z</dcterms:created>
  <dcterms:modified xsi:type="dcterms:W3CDTF">2025-11-03T07:29:33Z</dcterms:modified>
</cp:coreProperties>
</file>